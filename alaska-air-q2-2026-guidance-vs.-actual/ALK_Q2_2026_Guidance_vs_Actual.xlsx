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rett_tierce/Downloads/Finance Portfolio/"/>
    </mc:Choice>
  </mc:AlternateContent>
  <xr:revisionPtr revIDLastSave="0" documentId="13_ncr:1_{61210329-3EDD-E648-91CA-2CB183254AF8}" xr6:coauthVersionLast="47" xr6:coauthVersionMax="47" xr10:uidLastSave="{00000000-0000-0000-0000-000000000000}"/>
  <bookViews>
    <workbookView xWindow="0" yWindow="500" windowWidth="28800" windowHeight="15800" tabRatio="500" xr2:uid="{00000000-000D-0000-FFFF-FFFF00000000}"/>
  </bookViews>
  <sheets>
    <sheet name="Summary" sheetId="1" r:id="rId1"/>
    <sheet name="Inputs" sheetId="3" r:id="rId2"/>
    <sheet name="Variance" sheetId="4" r:id="rId3"/>
    <sheet name="Bridge" sheetId="5" r:id="rId4"/>
  </sheets>
  <definedNames>
    <definedName name="_xlchart.v1.0" hidden="1">(Bridge!$B$5:$B$13,Bridge!$B$16)</definedName>
    <definedName name="_xlchart.v1.1" hidden="1">(Bridge!$F$5:$F$13,Bridge!$F$16)</definedName>
    <definedName name="_xlchart.v1.2" hidden="1">Bridge!$B$4</definedName>
    <definedName name="_xlchart.v1.3" hidden="1">(Bridge!$B$5:$B$13,Bridge!$B$16)</definedName>
    <definedName name="_xlchart.v1.4" hidden="1">(Bridge!$F$5:$F$13,Bridge!$F$16)</definedName>
    <definedName name="_xlchart.v1.5" hidden="1">Bridge!$B$4</definedName>
    <definedName name="_xlnm.Print_Area" localSheetId="3">Bridge!$A$1:$F$36</definedName>
    <definedName name="_xlnm.Print_Area" localSheetId="1">Inputs!$A$1:$D$35</definedName>
    <definedName name="_xlnm.Print_Area" localSheetId="0">Summary!$B$2:$G$44</definedName>
    <definedName name="_xlnm.Print_Area" localSheetId="2">Variance!$A$1:$H$30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C30" i="4"/>
  <c r="C29" i="4"/>
  <c r="C28" i="4"/>
  <c r="C27" i="4"/>
  <c r="G23" i="4"/>
  <c r="D23" i="4"/>
  <c r="C23" i="4"/>
  <c r="G21" i="4"/>
  <c r="G20" i="4"/>
  <c r="D20" i="4"/>
  <c r="C20" i="4"/>
  <c r="D18" i="4"/>
  <c r="C18" i="4"/>
  <c r="D16" i="4"/>
  <c r="C16" i="4"/>
  <c r="D10" i="4"/>
  <c r="C10" i="4"/>
  <c r="D9" i="4"/>
  <c r="D15" i="4" s="1"/>
  <c r="C9" i="4"/>
  <c r="D8" i="4"/>
  <c r="D7" i="4"/>
  <c r="C7" i="4"/>
  <c r="G6" i="4"/>
  <c r="D6" i="4"/>
  <c r="C6" i="4"/>
  <c r="C14" i="3"/>
  <c r="D12" i="1"/>
  <c r="C12" i="1"/>
  <c r="D10" i="1"/>
  <c r="C10" i="1"/>
  <c r="D9" i="1"/>
  <c r="D8" i="1"/>
  <c r="C8" i="1"/>
  <c r="D7" i="1"/>
  <c r="C7" i="1"/>
  <c r="C8" i="4" l="1"/>
  <c r="C14" i="4" s="1"/>
  <c r="C9" i="1"/>
  <c r="E9" i="1" s="1"/>
  <c r="F9" i="1" s="1"/>
  <c r="B13" i="5"/>
  <c r="C13" i="5" s="1"/>
  <c r="B12" i="5"/>
  <c r="C12" i="5" s="1"/>
  <c r="B7" i="5"/>
  <c r="C7" i="5" s="1"/>
  <c r="E23" i="4"/>
  <c r="F23" i="4" s="1"/>
  <c r="E18" i="4"/>
  <c r="E16" i="4"/>
  <c r="E12" i="1"/>
  <c r="F12" i="1" s="1"/>
  <c r="E20" i="4"/>
  <c r="B11" i="5"/>
  <c r="E10" i="4"/>
  <c r="E10" i="1"/>
  <c r="F10" i="1" s="1"/>
  <c r="C15" i="4"/>
  <c r="E15" i="4" s="1"/>
  <c r="B6" i="5"/>
  <c r="C6" i="5" s="1"/>
  <c r="E8" i="1"/>
  <c r="F8" i="1" s="1"/>
  <c r="E7" i="1"/>
  <c r="E7" i="4"/>
  <c r="E9" i="4"/>
  <c r="B10" i="5"/>
  <c r="D14" i="4"/>
  <c r="D13" i="4"/>
  <c r="E6" i="4"/>
  <c r="F6" i="4" s="1"/>
  <c r="C13" i="4"/>
  <c r="B8" i="5"/>
  <c r="B9" i="5"/>
  <c r="E8" i="4"/>
  <c r="C17" i="4" l="1"/>
  <c r="C19" i="4" s="1"/>
  <c r="F16" i="4"/>
  <c r="G16" i="4"/>
  <c r="F10" i="4"/>
  <c r="G10" i="4"/>
  <c r="F18" i="4"/>
  <c r="G18" i="4"/>
  <c r="C11" i="5"/>
  <c r="G15" i="4"/>
  <c r="F15" i="4"/>
  <c r="F7" i="4"/>
  <c r="G7" i="4"/>
  <c r="E14" i="4"/>
  <c r="F9" i="4"/>
  <c r="G9" i="4"/>
  <c r="C10" i="5"/>
  <c r="E13" i="4"/>
  <c r="D17" i="4"/>
  <c r="D30" i="4"/>
  <c r="E30" i="4" s="1"/>
  <c r="C8" i="5"/>
  <c r="C9" i="5"/>
  <c r="G8" i="4"/>
  <c r="F8" i="4"/>
  <c r="C21" i="4" l="1"/>
  <c r="C22" i="4" s="1"/>
  <c r="C24" i="4" s="1"/>
  <c r="B5" i="5"/>
  <c r="C11" i="1"/>
  <c r="F14" i="4"/>
  <c r="G14" i="4"/>
  <c r="F13" i="4"/>
  <c r="G13" i="4"/>
  <c r="E17" i="4"/>
  <c r="D19" i="4"/>
  <c r="B16" i="5"/>
  <c r="D27" i="4" l="1"/>
  <c r="E27" i="4" s="1"/>
  <c r="C5" i="5"/>
  <c r="F17" i="4"/>
  <c r="G17" i="4"/>
  <c r="E19" i="4"/>
  <c r="D21" i="4"/>
  <c r="D29" i="4"/>
  <c r="E29" i="4" s="1"/>
  <c r="C14" i="5"/>
  <c r="D11" i="1"/>
  <c r="E11" i="1" s="1"/>
  <c r="F11" i="1" s="1"/>
  <c r="C15" i="5"/>
  <c r="B18" i="5"/>
  <c r="E21" i="4" l="1"/>
  <c r="F21" i="4" s="1"/>
  <c r="D22" i="4"/>
  <c r="F19" i="4"/>
  <c r="G19" i="4"/>
  <c r="C16" i="5"/>
  <c r="D14" i="5" s="1"/>
  <c r="E22" i="4" l="1"/>
  <c r="F22" i="4" s="1"/>
  <c r="D24" i="4"/>
  <c r="G22" i="4"/>
  <c r="E24" i="4"/>
  <c r="D15" i="5"/>
  <c r="D13" i="5"/>
  <c r="D12" i="5"/>
  <c r="D11" i="5"/>
  <c r="D7" i="5"/>
  <c r="D6" i="5"/>
  <c r="D8" i="5"/>
  <c r="D9" i="5"/>
  <c r="D10" i="5"/>
  <c r="D28" i="4" l="1"/>
  <c r="E28" i="4" s="1"/>
  <c r="C18" i="5"/>
  <c r="F24" i="4"/>
  <c r="G24" i="4"/>
</calcChain>
</file>

<file path=xl/sharedStrings.xml><?xml version="1.0" encoding="utf-8"?>
<sst xmlns="http://schemas.openxmlformats.org/spreadsheetml/2006/main" count="239" uniqueCount="161">
  <si>
    <t>Alaska Air Group (ALK) — Q2 2026 Guidance vs. Actual</t>
  </si>
  <si>
    <t>Variance analysis of management guidance (Apr 20, 2026) against reported Q2 2026 results (Jul 21, 2026). Adjusted (non-GAAP) basis.</t>
  </si>
  <si>
    <t>Headline metric</t>
  </si>
  <si>
    <t>Guidance</t>
  </si>
  <si>
    <t>Actual</t>
  </si>
  <si>
    <t>Variance</t>
  </si>
  <si>
    <t>F / U</t>
  </si>
  <si>
    <t>Capacity (ASMs) y/y</t>
  </si>
  <si>
    <t>Unit revenue (RASM) y/y</t>
  </si>
  <si>
    <t>Unit cost (CASMex) y/y</t>
  </si>
  <si>
    <t>Economic fuel cost per gallon</t>
  </si>
  <si>
    <t>Adjusted pretax income ($mm, model)</t>
  </si>
  <si>
    <t>Adjusted EPS (guided vs. reported)</t>
  </si>
  <si>
    <t>y/y actuals computed vs. Q2 2025 baseline on Inputs tab; percentage variances shown in points.</t>
  </si>
  <si>
    <t>Key takeaways</t>
  </si>
  <si>
    <t>Color legend</t>
  </si>
  <si>
    <t>Black text</t>
  </si>
  <si>
    <t>Green text</t>
  </si>
  <si>
    <t>Sources</t>
  </si>
  <si>
    <t>Inputs</t>
  </si>
  <si>
    <t>Line item</t>
  </si>
  <si>
    <t>Unit</t>
  </si>
  <si>
    <t>Value</t>
  </si>
  <si>
    <t>A. Prior-year baseline — Q2 2025 actual</t>
  </si>
  <si>
    <t>ASMs (capacity)</t>
  </si>
  <si>
    <t>mm</t>
  </si>
  <si>
    <t>RASM (unit revenue)</t>
  </si>
  <si>
    <t>¢</t>
  </si>
  <si>
    <t>CASMex (non-fuel unit cost)</t>
  </si>
  <si>
    <t>Capacity (ASMs) growth y/y</t>
  </si>
  <si>
    <t>%</t>
  </si>
  <si>
    <t>Q1 2026 CASMex growth y/y (base for guidance)</t>
  </si>
  <si>
    <t>Guided CASMex increment vs. Q1</t>
  </si>
  <si>
    <t>pts</t>
  </si>
  <si>
    <t>Implied CASMex growth y/y</t>
  </si>
  <si>
    <t>$/gal</t>
  </si>
  <si>
    <t>Fuel gallons consumed</t>
  </si>
  <si>
    <t>Tax rate</t>
  </si>
  <si>
    <t>Guided adjusted EPS</t>
  </si>
  <si>
    <t>$/sh</t>
  </si>
  <si>
    <t>Freighter costs + performance-based pay (assumption)</t>
  </si>
  <si>
    <t>$mm</t>
  </si>
  <si>
    <t>Non-operating expense, net, excl. FX (assumption)</t>
  </si>
  <si>
    <t>Diluted shares (assumption)</t>
  </si>
  <si>
    <t>C. Actual — Q2 2026 results (Q2 2026 release, Jul 21, 2026)</t>
  </si>
  <si>
    <t>Freighter costs + performance-based pay</t>
  </si>
  <si>
    <t>Non-operating expense, net, excl. FX</t>
  </si>
  <si>
    <t>Adjusted tax rate (adj. tax ÷ adj. pretax)</t>
  </si>
  <si>
    <t>Diluted shares</t>
  </si>
  <si>
    <t>Reported adjusted pretax income (check)</t>
  </si>
  <si>
    <t>Reported adjusted EPS (check)</t>
  </si>
  <si>
    <t>Reported total operating revenue (check)</t>
  </si>
  <si>
    <t>Budget (Guidance) vs. Actual — Q2 2026</t>
  </si>
  <si>
    <t>Budget</t>
  </si>
  <si>
    <t>Var %</t>
  </si>
  <si>
    <t>Commentary (driver explanation)</t>
  </si>
  <si>
    <t>Sign</t>
  </si>
  <si>
    <t>Operating drivers</t>
  </si>
  <si>
    <t>RASM</t>
  </si>
  <si>
    <t>CASMex</t>
  </si>
  <si>
    <t>Fuel cost per gallon</t>
  </si>
  <si>
    <t>Fuel gallons</t>
  </si>
  <si>
    <t>Adjusted P&amp;L ($mm)</t>
  </si>
  <si>
    <t>Total operating revenue</t>
  </si>
  <si>
    <t>Non-fuel operating costs (CASMex basis)</t>
  </si>
  <si>
    <t>Aircraft fuel</t>
  </si>
  <si>
    <t>Adjusted operating income</t>
  </si>
  <si>
    <t>Non-operating expense, net</t>
  </si>
  <si>
    <t>Adjusted pretax income</t>
  </si>
  <si>
    <t>Income tax expense / (benefit)</t>
  </si>
  <si>
    <t>Adjusted net income</t>
  </si>
  <si>
    <t>Adjusted EPS (model)</t>
  </si>
  <si>
    <t>Check</t>
  </si>
  <si>
    <t>Reported</t>
  </si>
  <si>
    <t>Model</t>
  </si>
  <si>
    <t>Difference</t>
  </si>
  <si>
    <t>Budget EPS: guided vs. model-implied</t>
  </si>
  <si>
    <t>Actual EPS: reported vs. model</t>
  </si>
  <si>
    <t>Actual pretax: reported vs. model</t>
  </si>
  <si>
    <t>Actual revenue: reported vs. model</t>
  </si>
  <si>
    <t>Guidance-to-Actual Bridge — Q2 2026</t>
  </si>
  <si>
    <t>Volume effects at budget rates; rate effects at actual volumes. Positive = helped earnings vs. guidance.</t>
  </si>
  <si>
    <t>Driver</t>
  </si>
  <si>
    <t>Pretax impact ($mm)</t>
  </si>
  <si>
    <t>EPS impact ($/sh)</t>
  </si>
  <si>
    <t>% of EPS var.</t>
  </si>
  <si>
    <t>Commentary</t>
  </si>
  <si>
    <t>Budget (guidance-based model)</t>
  </si>
  <si>
    <t>Capacity — revenue volume</t>
  </si>
  <si>
    <t>Unit revenue (RASM) — rate</t>
  </si>
  <si>
    <t>Capacity — non-fuel cost volume</t>
  </si>
  <si>
    <t>Unit cost (CASMex) — rate</t>
  </si>
  <si>
    <t>Fuel price</t>
  </si>
  <si>
    <t>Fuel consumption</t>
  </si>
  <si>
    <t>Freighter/PBP</t>
  </si>
  <si>
    <t>Non-operating expense</t>
  </si>
  <si>
    <t>Share count</t>
  </si>
  <si>
    <t>Actual (model)</t>
  </si>
  <si>
    <t>Check: bridge end vs. Variance tab actual (must be 0)</t>
  </si>
  <si>
    <t>Reported adj. EPS vs. guided EPS (headline variance)</t>
  </si>
  <si>
    <t>EX 99.1 7/21/2026 Earnings Release; Operating Statistics</t>
  </si>
  <si>
    <t>EX 99.1 4/20/2026 Earnings Release; Operating Statistics</t>
  </si>
  <si>
    <t>EX 99.1 4/20/2026 Earnings Release; CASMex Reconciliation
Assumes Q1 Run-Rate</t>
  </si>
  <si>
    <t>EX 99.1 4/20/2026 Earnings Release, Condensed Consolidated Statement of Operations
Assumes Q1 Run-Rate</t>
  </si>
  <si>
    <t>EX 99.1 4/20/2026 Earnings Release; Condensed Consolidated Statement of Operations
Assumes Q1 Run-Rate</t>
  </si>
  <si>
    <t>Source &amp; Notes</t>
  </si>
  <si>
    <t>EX 99.1 7/21/2026 Earnings Release; CASMex Reconciliation</t>
  </si>
  <si>
    <t>EX 99.1 7/21/2026 Earnings Release; Condensed Consolidated Statement of Operations</t>
  </si>
  <si>
    <t>EX 99.1 7/21/2026 Earnings Release; GAAP-to-non-GAAP Reconciliation</t>
  </si>
  <si>
    <t>F = favorable, U = unfavorable</t>
  </si>
  <si>
    <t>Tax rate 42% vs 32% budget; higher rate raises tax benefit on pretax loss</t>
  </si>
  <si>
    <t>Capacity plan &lt; 5% of EPS variance; on budget with no forecast change needed</t>
  </si>
  <si>
    <t>Largest unfavorable factor offsetting CASMex performance. Entirely tied to a large swing in performance-based pay from a light Q1.</t>
  </si>
  <si>
    <t xml:space="preserve">Small expected factor from Q1 buybacks; work announced repurchases into budget's share assumption </t>
  </si>
  <si>
    <t>Fuel Price</t>
  </si>
  <si>
    <t>Fuel Volume</t>
  </si>
  <si>
    <t>Non-Op</t>
  </si>
  <si>
    <t>Prepared by: Brett Tierce  |  October 16, 2026</t>
  </si>
  <si>
    <t>Blue text</t>
  </si>
  <si>
    <t>Formula</t>
  </si>
  <si>
    <t>Input cell - Hard-Coded</t>
  </si>
  <si>
    <t>Capacity (Rev)</t>
  </si>
  <si>
    <t>Capacity (Cost)</t>
  </si>
  <si>
    <t>Gap = unguided assumptions (PBP, non-op, shares)</t>
  </si>
  <si>
    <t>Fuel cost rose 85% adding $600M in cost; an expected significant increase, but 1.6% lower than forecast</t>
  </si>
  <si>
    <t>$35M above forecasted costs; entirely tied to performance-based pay, likely due to strong operational performance</t>
  </si>
  <si>
    <t>Fuel consumption below budget by 2M gallons; on target for current capacity plan</t>
  </si>
  <si>
    <t>Operating revenue grew ~10%, $12M below forecast because of a slight RASM shortfall</t>
  </si>
  <si>
    <t>Non-fuel costs were $32M under forecast because of strong cost management</t>
  </si>
  <si>
    <t>Operating income 10% above forecast; cost management and lower fuel price more than offset unit revenue shortfall</t>
  </si>
  <si>
    <t>Non-operating expenses $5M above budget due to higher interest expense on $1B of new financing in Q2</t>
  </si>
  <si>
    <t>A decrease in diluted shares by 3.2M due to Q1 share repurchases</t>
  </si>
  <si>
    <t>Higher interest expense from $1B in new financing that will continue into Q3 and later</t>
  </si>
  <si>
    <t>Strongest favorable driver from cost management; if cost management continues Q3 CASMex assumptions may be conservative</t>
  </si>
  <si>
    <t>External favorable factor; fuel remains volatile and should be stress-tested in Q3</t>
  </si>
  <si>
    <t>Small factor partly controllable with the modernization of aircraft fleet; expect continued moderate benefit</t>
  </si>
  <si>
    <t>Majority reason for EPS movement; non-operational factor &amp; non-repeatable. A higher rate is a benefit in a loss quarter but a negative when profitable</t>
  </si>
  <si>
    <t>Cross Sheet Reference</t>
  </si>
  <si>
    <t>Alaska Air Group, Form 8-K Ex. 99.1, Q1 2026 earnings release (Apr 20, 2026)</t>
  </si>
  <si>
    <t>Pretax income 5.1% above budget; tied to cost management but partly offset by an increase in performance-based pay</t>
  </si>
  <si>
    <t>$15M higher benefit than plan due to higher rate on pretax loss</t>
  </si>
  <si>
    <t>Adjusted net income 19.1% higher than forecast due to tax benefit</t>
  </si>
  <si>
    <t>$0.18 favorable vs. model budget ($0.08 vs. -$1.00 guide): +$0.15 tax, +$0.06 operations, -$0.03 share count</t>
  </si>
  <si>
    <t>Adjusted EPS of -$0.92 beat the model budget (-$1.10). About $0.15 of the $0.18 improvement came from a 42% tax rate on the pretax loss vs. 32% planned. Pretax income was only $9M better than plan. That makes the beat low quality and not repeatable: the tax effect reverses once Alaska returns to profitability.</t>
  </si>
  <si>
    <t>B. Budget — Q2 2026 forecast</t>
  </si>
  <si>
    <t>EX 99.1 4/20/2026 Earnings Release; Second Quarter forecast Information</t>
  </si>
  <si>
    <t>Capacity grew ~1%, on budget, with no meaningful impact on earnings</t>
  </si>
  <si>
    <t xml:space="preserve">Unit revenues grew 8.6%, slightly unfavorable to 9% midpoint, but fits "high single digits" expectation. </t>
  </si>
  <si>
    <t>CASMex grew 6.5% vs 7.8% forecasted growth. Strong cost management minimized increases due to transitory factors</t>
  </si>
  <si>
    <t>Fuel costs were $30M under forecast due to lower fuel cost and consumption</t>
  </si>
  <si>
    <t>Alaska Air Group, Form 8-K Ex. 99.1, Q2 2026 earnings release (Jul 21, 2026)</t>
  </si>
  <si>
    <t>Chart label</t>
  </si>
  <si>
    <t>Strong cost management brought non-fuel operating costs in $32M (1.1%) under forecast. Fuel cost came in $30M (2.2%) under forecast. If cost management continues Q3 CASMex assumptions may be conservative. Savings on cost were offset by higher performance-based pay ($35M), higher interest expense from new financing ($5M), and unit revenues slightly below forecast.</t>
  </si>
  <si>
    <t>EX 99.1 4/20/2026 Earnings Release; Second Quarter Forecast Information</t>
  </si>
  <si>
    <t>EX 99.1 4/20/2026 Earnings Release; Second Quarter Forecast Information
Midpoint from 8-10%</t>
  </si>
  <si>
    <t>Second largest unfavorable driver, partly due to Hawaii storms. Low double digit growth expected for Q3; for forecast use a more conservative midpoint</t>
  </si>
  <si>
    <t>Unit revenues grew 8.6%, slightly unfavorable to 9% midpoint, but fits "high single digits" expectation. With capacity growth up only 1%, unit revenue growth came from pricing and mix: premium revenue rose 15% and cargo revenue 21%. Expect low double digit growth for Q3.</t>
  </si>
  <si>
    <t>1. EPS guidance beat from taxes, not operations</t>
  </si>
  <si>
    <t>2. Strong increase in unit revenues despite missed midpoint</t>
  </si>
  <si>
    <t>3. Strong cost control offset by incentive pay &amp; softer unit revenue</t>
  </si>
  <si>
    <t>RASM growth y/y (midpoint)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</si>
</sst>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;\(0.0%\);\-"/>
    <numFmt numFmtId="165" formatCode="\$0.00;&quot;($&quot;0.00\);\-"/>
    <numFmt numFmtId="166" formatCode="\$#,##0;&quot;($&quot;#,##0\);\-"/>
    <numFmt numFmtId="167" formatCode="#,##0;\(#,##0\);\-"/>
    <numFmt numFmtId="168" formatCode="0.00\¢;\(0.00&quot;¢)&quot;;\-"/>
    <numFmt numFmtId="169" formatCode="#,##0.0;\(#,##0.0\);\-"/>
    <numFmt numFmtId="170" formatCode="\$0.000;&quot;($&quot;0.000\);\-"/>
    <numFmt numFmtId="171" formatCode="\+0.0%;\-0.0%;&quot;-&quot;"/>
  </numFmts>
  <fonts count="14" x14ac:knownFonts="1">
    <font>
      <sz val="11"/>
      <color theme="1"/>
      <name val="Calibri"/>
      <family val="2"/>
      <charset val="1"/>
    </font>
    <font>
      <i/>
      <sz val="10"/>
      <color rgb="FF595959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sz val="8"/>
      <color rgb="FFA6A6A6"/>
      <name val="Arial"/>
      <family val="2"/>
    </font>
    <font>
      <b/>
      <sz val="10"/>
      <color rgb="FF008000"/>
      <name val="Arial"/>
      <family val="2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</font>
    <font>
      <b/>
      <sz val="16"/>
      <color rgb="FF01416E"/>
      <name val="Arial"/>
      <family val="2"/>
    </font>
    <font>
      <b/>
      <sz val="10"/>
      <color rgb="FF01416E"/>
      <name val="Arial"/>
      <family val="2"/>
    </font>
    <font>
      <u/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2D4F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rgb="FF01416E"/>
        <bgColor rgb="FF00330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4" borderId="0" xfId="0" applyFill="1"/>
    <xf numFmtId="0" fontId="7" fillId="0" borderId="0" xfId="0" applyFont="1"/>
    <xf numFmtId="166" fontId="8" fillId="3" borderId="0" xfId="0" applyNumberFormat="1" applyFont="1" applyFill="1"/>
    <xf numFmtId="170" fontId="8" fillId="3" borderId="0" xfId="0" applyNumberFormat="1" applyFont="1" applyFill="1"/>
    <xf numFmtId="164" fontId="0" fillId="3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0" fontId="11" fillId="0" borderId="0" xfId="0" applyFont="1"/>
    <xf numFmtId="0" fontId="3" fillId="5" borderId="0" xfId="0" applyFont="1" applyFill="1" applyAlignment="1">
      <alignment horizontal="center" vertical="center" wrapText="1"/>
    </xf>
    <xf numFmtId="0" fontId="12" fillId="0" borderId="0" xfId="0" applyFont="1"/>
    <xf numFmtId="0" fontId="12" fillId="4" borderId="0" xfId="0" applyFont="1" applyFill="1"/>
    <xf numFmtId="0" fontId="10" fillId="0" borderId="1" xfId="0" applyFont="1" applyBorder="1" applyAlignment="1">
      <alignment vertical="top" wrapText="1"/>
    </xf>
    <xf numFmtId="0" fontId="12" fillId="3" borderId="0" xfId="0" applyFont="1" applyFill="1"/>
    <xf numFmtId="166" fontId="12" fillId="3" borderId="0" xfId="0" applyNumberFormat="1" applyFont="1" applyFill="1"/>
    <xf numFmtId="170" fontId="12" fillId="3" borderId="0" xfId="0" applyNumberFormat="1" applyFont="1" applyFill="1"/>
    <xf numFmtId="0" fontId="4" fillId="0" borderId="1" xfId="0" applyFont="1" applyBorder="1"/>
    <xf numFmtId="166" fontId="4" fillId="0" borderId="1" xfId="0" applyNumberFormat="1" applyFont="1" applyBorder="1"/>
    <xf numFmtId="170" fontId="4" fillId="0" borderId="1" xfId="0" applyNumberFormat="1" applyFont="1" applyBorder="1"/>
    <xf numFmtId="164" fontId="4" fillId="0" borderId="1" xfId="0" applyNumberFormat="1" applyFont="1" applyBorder="1"/>
    <xf numFmtId="166" fontId="0" fillId="0" borderId="1" xfId="0" applyNumberForma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0" fontId="0" fillId="0" borderId="1" xfId="0" applyBorder="1"/>
    <xf numFmtId="164" fontId="2" fillId="0" borderId="1" xfId="0" applyNumberFormat="1" applyFont="1" applyBorder="1"/>
    <xf numFmtId="164" fontId="6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9" fontId="2" fillId="0" borderId="1" xfId="0" applyNumberFormat="1" applyFont="1" applyBorder="1"/>
    <xf numFmtId="164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171" fontId="6" fillId="0" borderId="1" xfId="0" applyNumberFormat="1" applyFont="1" applyBorder="1"/>
    <xf numFmtId="165" fontId="5" fillId="0" borderId="1" xfId="0" applyNumberFormat="1" applyFont="1" applyBorder="1"/>
    <xf numFmtId="165" fontId="6" fillId="0" borderId="1" xfId="0" applyNumberFormat="1" applyFont="1" applyBorder="1"/>
    <xf numFmtId="166" fontId="5" fillId="0" borderId="1" xfId="0" applyNumberFormat="1" applyFont="1" applyBorder="1"/>
    <xf numFmtId="166" fontId="6" fillId="0" borderId="1" xfId="0" applyNumberFormat="1" applyFont="1" applyBorder="1"/>
    <xf numFmtId="0" fontId="4" fillId="0" borderId="0" xfId="0" applyFont="1"/>
    <xf numFmtId="0" fontId="5" fillId="0" borderId="0" xfId="0" applyFont="1"/>
    <xf numFmtId="167" fontId="4" fillId="0" borderId="1" xfId="0" applyNumberFormat="1" applyFont="1" applyBorder="1"/>
    <xf numFmtId="168" fontId="4" fillId="0" borderId="1" xfId="0" applyNumberFormat="1" applyFont="1" applyBorder="1"/>
    <xf numFmtId="165" fontId="4" fillId="0" borderId="1" xfId="0" applyNumberFormat="1" applyFont="1" applyBorder="1"/>
    <xf numFmtId="167" fontId="5" fillId="0" borderId="1" xfId="0" applyNumberFormat="1" applyFont="1" applyBorder="1"/>
    <xf numFmtId="0" fontId="6" fillId="0" borderId="1" xfId="0" applyFont="1" applyBorder="1"/>
    <xf numFmtId="171" fontId="4" fillId="0" borderId="1" xfId="0" applyNumberFormat="1" applyFont="1" applyBorder="1"/>
    <xf numFmtId="169" fontId="5" fillId="0" borderId="1" xfId="0" applyNumberFormat="1" applyFont="1" applyBorder="1"/>
    <xf numFmtId="169" fontId="4" fillId="0" borderId="1" xfId="0" applyNumberFormat="1" applyFont="1" applyBorder="1"/>
    <xf numFmtId="0" fontId="10" fillId="0" borderId="1" xfId="0" quotePrefix="1" applyFont="1" applyBorder="1" applyAlignment="1">
      <alignment vertical="top" wrapText="1"/>
    </xf>
    <xf numFmtId="0" fontId="6" fillId="0" borderId="0" xfId="0" applyFont="1"/>
    <xf numFmtId="166" fontId="6" fillId="0" borderId="0" xfId="0" applyNumberFormat="1" applyFont="1"/>
    <xf numFmtId="170" fontId="6" fillId="0" borderId="0" xfId="0" applyNumberFormat="1" applyFont="1"/>
    <xf numFmtId="165" fontId="5" fillId="0" borderId="0" xfId="0" applyNumberFormat="1" applyFont="1"/>
    <xf numFmtId="0" fontId="6" fillId="0" borderId="2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0" xfId="0" applyFill="1" applyAlignment="1">
      <alignment vertical="center"/>
    </xf>
    <xf numFmtId="0" fontId="13" fillId="0" borderId="0" xfId="1" applyFont="1" applyAlignment="1">
      <alignment horizontal="left"/>
    </xf>
    <xf numFmtId="0" fontId="10" fillId="0" borderId="1" xfId="0" applyFont="1" applyBorder="1"/>
    <xf numFmtId="0" fontId="10" fillId="6" borderId="0" xfId="0" applyFont="1" applyFill="1"/>
    <xf numFmtId="0" fontId="6" fillId="0" borderId="0" xfId="0" applyFont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D8F"/>
      <rgbColor rgb="FF878787"/>
      <rgbColor rgb="FF0B2D4F"/>
      <rgbColor rgb="FF2E8B57"/>
      <rgbColor rgb="FF003300"/>
      <rgbColor rgb="FF333300"/>
      <rgbColor rgb="FFC0392B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AAAAA"/>
      <color rgb="FFB1D887"/>
      <color rgb="FF01416E"/>
      <color rgb="FF007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800">
                <a:solidFill>
                  <a:schemeClr val="tx1"/>
                </a:solidFill>
              </a:defRPr>
            </a:pPr>
            <a:r>
              <a:rPr lang="en-US" sz="1800" b="1" i="0" baseline="0">
                <a:solidFill>
                  <a:schemeClr val="tx1"/>
                </a:solidFill>
                <a:effectLst/>
              </a:rPr>
              <a:t>Adjusted Pretax: Guidance → Actual ($mm)</a:t>
            </a:r>
            <a:endParaRPr lang="en-US" sz="1800">
              <a:solidFill>
                <a:schemeClr val="tx1"/>
              </a:solidFill>
              <a:effectLst/>
            </a:endParaRPr>
          </a:p>
        </cx:rich>
      </cx:tx>
    </cx:title>
    <cx:plotArea>
      <cx:plotAreaRegion>
        <cx:plotSurface>
          <cx:spPr>
            <a:ln>
              <a:noFill/>
            </a:ln>
          </cx:spPr>
        </cx:plotSurface>
        <cx:series layoutId="waterfall" uniqueId="{00000000-7BBF-1A4E-B7C3-A0F2778BDEDE}">
          <cx:tx>
            <cx:txData>
              <cx:f>_xlchart.v1.2</cx:f>
              <cx:v>Pretax impact ($mm)</cx:v>
            </cx:txData>
          </cx:tx>
          <cx:dataPt idx="0">
            <cx:spPr>
              <a:solidFill>
                <a:srgbClr val="01416E"/>
              </a:solidFill>
            </cx:spPr>
          </cx:dataPt>
          <cx:dataPt idx="1">
            <cx:spPr>
              <a:solidFill>
                <a:srgbClr val="007CBA"/>
              </a:solidFill>
            </cx:spPr>
          </cx:dataPt>
          <cx:dataPt idx="2">
            <cx:spPr>
              <a:solidFill>
                <a:srgbClr val="AAAAAA"/>
              </a:solidFill>
            </cx:spPr>
          </cx:dataPt>
          <cx:dataPt idx="3">
            <cx:spPr>
              <a:solidFill>
                <a:srgbClr val="AAAAAA"/>
              </a:solidFill>
            </cx:spPr>
          </cx:dataPt>
          <cx:dataPt idx="4">
            <cx:spPr>
              <a:solidFill>
                <a:srgbClr val="007CBA"/>
              </a:solidFill>
            </cx:spPr>
          </cx:dataPt>
          <cx:dataPt idx="5">
            <cx:spPr>
              <a:solidFill>
                <a:srgbClr val="007CBA"/>
              </a:solidFill>
            </cx:spPr>
          </cx:dataPt>
          <cx:dataPt idx="6">
            <cx:spPr>
              <a:solidFill>
                <a:srgbClr val="007CBA"/>
              </a:solidFill>
            </cx:spPr>
          </cx:dataPt>
          <cx:dataPt idx="7">
            <cx:spPr>
              <a:solidFill>
                <a:srgbClr val="AAAAAA"/>
              </a:solidFill>
            </cx:spPr>
          </cx:dataPt>
          <cx:dataPt idx="8">
            <cx:spPr>
              <a:solidFill>
                <a:srgbClr val="AAAAAA"/>
              </a:solidFill>
            </cx:spPr>
          </cx:dataPt>
          <cx:dataPt idx="9">
            <cx:spPr>
              <a:solidFill>
                <a:srgbClr val="01416E"/>
              </a:solidFill>
            </cx:spPr>
          </cx:dataPt>
          <cx:dataId val="0"/>
          <cx:layoutPr>
            <cx:visibility connectorLines="0"/>
            <cx:subtotals>
              <cx:idx val="9"/>
            </cx:subtotals>
          </cx:layoutPr>
        </cx:series>
      </cx:plotAreaRegion>
      <cx:axis id="0">
        <cx:catScaling gapWidth="0.5"/>
        <cx:majorTickMarks type="out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Calibri"/>
            </a:endParaRPr>
          </a:p>
        </cx:txPr>
      </cx:axis>
      <cx:axis id="1">
        <cx:valScaling/>
        <cx:title>
          <cx:tx>
            <cx:txData>
              <cx:v>$mm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/>
                </a:rPr>
                <a:t>$mm</a:t>
              </a:r>
            </a:p>
          </cx:txPr>
        </cx:title>
        <cx:majorTickMarks type="out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Calibri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80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800" b="1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Adjusted Pretax: Guidance → Actual ($mm)</a:t>
            </a:r>
            <a:endParaRPr lang="en-US" sz="18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plotSurface>
          <cx:spPr>
            <a:ln>
              <a:noFill/>
            </a:ln>
          </cx:spPr>
        </cx:plotSurface>
        <cx:series layoutId="waterfall" uniqueId="{00000000-7BBF-1A4E-B7C3-A0F2778BDEDE}">
          <cx:tx>
            <cx:txData>
              <cx:f>_xlchart.v1.5</cx:f>
              <cx:v>Pretax impact ($mm)</cx:v>
            </cx:txData>
          </cx:tx>
          <cx:dataPt idx="0">
            <cx:spPr>
              <a:solidFill>
                <a:srgbClr val="01416E"/>
              </a:solidFill>
            </cx:spPr>
          </cx:dataPt>
          <cx:dataPt idx="1">
            <cx:spPr>
              <a:solidFill>
                <a:srgbClr val="007CBA"/>
              </a:solidFill>
            </cx:spPr>
          </cx:dataPt>
          <cx:dataPt idx="2">
            <cx:spPr>
              <a:solidFill>
                <a:srgbClr val="AAAAAA"/>
              </a:solidFill>
            </cx:spPr>
          </cx:dataPt>
          <cx:dataPt idx="3">
            <cx:spPr>
              <a:solidFill>
                <a:srgbClr val="AAAAAA"/>
              </a:solidFill>
            </cx:spPr>
          </cx:dataPt>
          <cx:dataPt idx="4">
            <cx:spPr>
              <a:solidFill>
                <a:srgbClr val="007CBA"/>
              </a:solidFill>
            </cx:spPr>
          </cx:dataPt>
          <cx:dataPt idx="5">
            <cx:spPr>
              <a:solidFill>
                <a:srgbClr val="007CBA"/>
              </a:solidFill>
            </cx:spPr>
          </cx:dataPt>
          <cx:dataPt idx="6">
            <cx:spPr>
              <a:solidFill>
                <a:srgbClr val="007CBA"/>
              </a:solidFill>
            </cx:spPr>
          </cx:dataPt>
          <cx:dataPt idx="7">
            <cx:spPr>
              <a:solidFill>
                <a:srgbClr val="AAAAAA"/>
              </a:solidFill>
            </cx:spPr>
          </cx:dataPt>
          <cx:dataPt idx="8">
            <cx:spPr>
              <a:solidFill>
                <a:srgbClr val="AAAAAA"/>
              </a:solidFill>
            </cx:spPr>
          </cx:dataPt>
          <cx:dataPt idx="9">
            <cx:spPr>
              <a:solidFill>
                <a:srgbClr val="01416E"/>
              </a:solidFill>
            </cx:spPr>
          </cx:dataPt>
          <cx:dataId val="0"/>
          <cx:layoutPr>
            <cx:visibility connectorLines="0"/>
            <cx:subtotals>
              <cx:idx val="9"/>
            </cx:subtotals>
          </cx:layoutPr>
        </cx:series>
      </cx:plotAreaRegion>
      <cx:axis id="0">
        <cx:catScaling gapWidth="0.5"/>
        <cx:majorTickMarks type="out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$mm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/>
                </a:rPr>
                <a:t>$mm</a:t>
              </a:r>
            </a:p>
          </cx:txPr>
        </cx:title>
        <cx:majorTickMarks type="out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8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8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7</xdr:col>
      <xdr:colOff>0</xdr:colOff>
      <xdr:row>35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EC81306-1745-744B-AE6F-20541E9A6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6134100"/>
              <a:ext cx="87630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</xdr:rowOff>
    </xdr:from>
    <xdr:to>
      <xdr:col>4</xdr:col>
      <xdr:colOff>0</xdr:colOff>
      <xdr:row>36</xdr:row>
      <xdr:rowOff>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66FC4550-469E-8924-6EB4-DA6EEC8EC9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045201"/>
              <a:ext cx="61595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ec.gov/Archives/edgar/data/766421/000076642126000036/ex9917212026earningsrelease.htm" TargetMode="External"/><Relationship Id="rId1" Type="http://schemas.openxmlformats.org/officeDocument/2006/relationships/hyperlink" Target="https://www.sec.gov/Archives/edgar/data/766421/000076642126000015/ex9914202026earningsrelease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4"/>
  <sheetViews>
    <sheetView showGridLines="0" tabSelected="1" zoomScaleNormal="100" zoomScaleSheetLayoutView="113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5" width="14" customWidth="1"/>
    <col min="6" max="6" width="9" customWidth="1"/>
    <col min="7" max="7" width="30" customWidth="1"/>
  </cols>
  <sheetData>
    <row r="2" spans="2:7" ht="20" x14ac:dyDescent="0.2">
      <c r="B2" s="11" t="s">
        <v>0</v>
      </c>
    </row>
    <row r="3" spans="2:7" x14ac:dyDescent="0.2">
      <c r="B3" s="1" t="s">
        <v>1</v>
      </c>
    </row>
    <row r="4" spans="2:7" x14ac:dyDescent="0.2">
      <c r="B4" s="2" t="s">
        <v>117</v>
      </c>
    </row>
    <row r="6" spans="2:7" x14ac:dyDescent="0.2"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</row>
    <row r="7" spans="2:7" x14ac:dyDescent="0.2">
      <c r="B7" s="19" t="s">
        <v>7</v>
      </c>
      <c r="C7" s="32">
        <f>Inputs!$C$10</f>
        <v>0.01</v>
      </c>
      <c r="D7" s="32">
        <f>IFERROR(Inputs!$C$24/Inputs!$C$5-1,0)</f>
        <v>1.030842131515497E-2</v>
      </c>
      <c r="E7" s="34">
        <f t="shared" ref="E7:E12" si="0">D7-C7</f>
        <v>3.0842131515496952E-4</v>
      </c>
      <c r="F7" s="33"/>
    </row>
    <row r="8" spans="2:7" x14ac:dyDescent="0.2">
      <c r="B8" s="19" t="s">
        <v>8</v>
      </c>
      <c r="C8" s="32">
        <f>Inputs!$C$11</f>
        <v>0.09</v>
      </c>
      <c r="D8" s="32">
        <f>IFERROR(Inputs!$C$25/Inputs!$C$6-1,0)</f>
        <v>8.6419753086419693E-2</v>
      </c>
      <c r="E8" s="34">
        <f t="shared" si="0"/>
        <v>-3.5802469135803039E-3</v>
      </c>
      <c r="F8" s="33" t="str">
        <f>IF(ROUND(E8,6)=0,"-",IF(E8*1&gt;0,"F","U"))</f>
        <v>U</v>
      </c>
    </row>
    <row r="9" spans="2:7" x14ac:dyDescent="0.2">
      <c r="B9" s="19" t="s">
        <v>9</v>
      </c>
      <c r="C9" s="32">
        <f>Inputs!$C$14</f>
        <v>7.8E-2</v>
      </c>
      <c r="D9" s="32">
        <f>IFERROR(Inputs!$C$26/Inputs!$C$7-1,0)</f>
        <v>6.542056074766367E-2</v>
      </c>
      <c r="E9" s="34">
        <f t="shared" si="0"/>
        <v>-1.257943925233633E-2</v>
      </c>
      <c r="F9" s="33" t="str">
        <f>IF(ROUND(E9,6)=0,"-",IF(E9*-1&gt;0,"F","U"))</f>
        <v>F</v>
      </c>
    </row>
    <row r="10" spans="2:7" x14ac:dyDescent="0.2">
      <c r="B10" s="19" t="s">
        <v>10</v>
      </c>
      <c r="C10" s="35">
        <f>Inputs!$C$15</f>
        <v>4.5</v>
      </c>
      <c r="D10" s="35">
        <f>Inputs!$C$27</f>
        <v>4.43</v>
      </c>
      <c r="E10" s="36">
        <f t="shared" si="0"/>
        <v>-7.0000000000000284E-2</v>
      </c>
      <c r="F10" s="33" t="str">
        <f>IF(ROUND(E10,6)=0,"-",IF(E10*-1&gt;0,"F","U"))</f>
        <v>F</v>
      </c>
    </row>
    <row r="11" spans="2:7" x14ac:dyDescent="0.2">
      <c r="B11" s="19" t="s">
        <v>11</v>
      </c>
      <c r="C11" s="37">
        <f>Variance!C19</f>
        <v>-185.13291509999863</v>
      </c>
      <c r="D11" s="37">
        <f>Variance!D19</f>
        <v>-175.77080000000024</v>
      </c>
      <c r="E11" s="38">
        <f t="shared" si="0"/>
        <v>9.3621150999983911</v>
      </c>
      <c r="F11" s="33" t="str">
        <f>IF(ROUND(E11,6)=0,"-",IF(E11*1&gt;0,"F","U"))</f>
        <v>F</v>
      </c>
    </row>
    <row r="12" spans="2:7" x14ac:dyDescent="0.2">
      <c r="B12" s="19" t="s">
        <v>12</v>
      </c>
      <c r="C12" s="35">
        <f>Inputs!$C$18</f>
        <v>-1</v>
      </c>
      <c r="D12" s="35">
        <f>Inputs!$C$34</f>
        <v>-0.92</v>
      </c>
      <c r="E12" s="36">
        <f t="shared" si="0"/>
        <v>7.999999999999996E-2</v>
      </c>
      <c r="F12" s="33" t="str">
        <f>IF(ROUND(E12,6)=0,"-",IF(E12*1&gt;0,"F","U"))</f>
        <v>F</v>
      </c>
    </row>
    <row r="13" spans="2:7" x14ac:dyDescent="0.2">
      <c r="B13" s="1" t="s">
        <v>13</v>
      </c>
    </row>
    <row r="15" spans="2:7" x14ac:dyDescent="0.2">
      <c r="B15" s="13" t="s">
        <v>14</v>
      </c>
    </row>
    <row r="16" spans="2:7" ht="78" customHeight="1" x14ac:dyDescent="0.2">
      <c r="B16" s="54" t="s">
        <v>157</v>
      </c>
      <c r="C16" s="62" t="s">
        <v>143</v>
      </c>
      <c r="D16" s="62"/>
      <c r="E16" s="62"/>
      <c r="F16" s="62"/>
      <c r="G16" s="62"/>
    </row>
    <row r="17" spans="2:7" ht="80" customHeight="1" x14ac:dyDescent="0.2">
      <c r="B17" s="54" t="s">
        <v>158</v>
      </c>
      <c r="C17" s="62" t="s">
        <v>156</v>
      </c>
      <c r="D17" s="62"/>
      <c r="E17" s="62"/>
      <c r="F17" s="62"/>
      <c r="G17" s="62"/>
    </row>
    <row r="18" spans="2:7" ht="80" customHeight="1" x14ac:dyDescent="0.2">
      <c r="B18" s="61" t="s">
        <v>159</v>
      </c>
      <c r="C18" s="63" t="s">
        <v>152</v>
      </c>
      <c r="D18" s="63"/>
      <c r="E18" s="63"/>
      <c r="F18" s="63"/>
      <c r="G18" s="63"/>
    </row>
    <row r="37" spans="2:6" x14ac:dyDescent="0.2">
      <c r="B37" s="13" t="s">
        <v>15</v>
      </c>
    </row>
    <row r="38" spans="2:6" x14ac:dyDescent="0.2">
      <c r="B38" s="2" t="s">
        <v>118</v>
      </c>
      <c r="C38" s="39" t="s">
        <v>120</v>
      </c>
    </row>
    <row r="39" spans="2:6" x14ac:dyDescent="0.2">
      <c r="B39" s="39" t="s">
        <v>16</v>
      </c>
      <c r="C39" s="39" t="s">
        <v>119</v>
      </c>
    </row>
    <row r="40" spans="2:6" x14ac:dyDescent="0.2">
      <c r="B40" s="40" t="s">
        <v>17</v>
      </c>
      <c r="C40" s="39" t="s">
        <v>137</v>
      </c>
    </row>
    <row r="42" spans="2:6" x14ac:dyDescent="0.2">
      <c r="B42" s="13" t="s">
        <v>18</v>
      </c>
    </row>
    <row r="43" spans="2:6" x14ac:dyDescent="0.2">
      <c r="B43" s="58" t="s">
        <v>138</v>
      </c>
      <c r="D43" s="10"/>
      <c r="E43" s="10"/>
      <c r="F43" s="10"/>
    </row>
    <row r="44" spans="2:6" x14ac:dyDescent="0.2">
      <c r="B44" s="58" t="s">
        <v>150</v>
      </c>
      <c r="D44" s="10"/>
      <c r="E44" s="10"/>
    </row>
  </sheetData>
  <mergeCells count="3">
    <mergeCell ref="C17:G17"/>
    <mergeCell ref="C18:G18"/>
    <mergeCell ref="C16:G16"/>
  </mergeCells>
  <hyperlinks>
    <hyperlink ref="B43" r:id="rId1" xr:uid="{B520395C-A9C2-FF40-89B9-DA6F9DABF6CB}"/>
    <hyperlink ref="B44" r:id="rId2" display="Alaska Air Group, Form 8-K Ex. 99.1, Q2 2026 earnings release (Jun 21, 2026)" xr:uid="{42AAA96D-7671-3547-9285-F2896C2FDC81}"/>
  </hyperlinks>
  <pageMargins left="0.75" right="0.75" top="1" bottom="1" header="0.511811023622047" footer="0.511811023622047"/>
  <pageSetup paperSize="9" fitToHeight="2" orientation="landscape" horizontalDpi="300" verticalDpi="300"/>
  <rowBreaks count="1" manualBreakCount="1">
    <brk id="19" min="1" max="6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5"/>
  <sheetViews>
    <sheetView showGridLines="0" zoomScaleNormal="100" workbookViewId="0"/>
  </sheetViews>
  <sheetFormatPr baseColWidth="10" defaultColWidth="8.6640625" defaultRowHeight="15" x14ac:dyDescent="0.2"/>
  <cols>
    <col min="1" max="1" width="52" customWidth="1"/>
    <col min="2" max="2" width="10" customWidth="1"/>
    <col min="3" max="3" width="14" customWidth="1"/>
    <col min="4" max="4" width="40" customWidth="1"/>
  </cols>
  <sheetData>
    <row r="1" spans="1:4" ht="20" x14ac:dyDescent="0.2">
      <c r="A1" s="11" t="s">
        <v>19</v>
      </c>
    </row>
    <row r="2" spans="1:4" x14ac:dyDescent="0.2">
      <c r="A2" s="1"/>
    </row>
    <row r="3" spans="1:4" x14ac:dyDescent="0.2">
      <c r="A3" s="12" t="s">
        <v>20</v>
      </c>
      <c r="B3" s="12" t="s">
        <v>21</v>
      </c>
      <c r="C3" s="12" t="s">
        <v>22</v>
      </c>
      <c r="D3" s="12" t="s">
        <v>105</v>
      </c>
    </row>
    <row r="4" spans="1:4" x14ac:dyDescent="0.2">
      <c r="A4" s="14" t="s">
        <v>23</v>
      </c>
      <c r="B4" s="4"/>
      <c r="C4" s="4"/>
      <c r="D4" s="4"/>
    </row>
    <row r="5" spans="1:4" ht="28" x14ac:dyDescent="0.2">
      <c r="A5" s="19" t="s">
        <v>24</v>
      </c>
      <c r="B5" s="19" t="s">
        <v>25</v>
      </c>
      <c r="C5" s="24">
        <v>24058</v>
      </c>
      <c r="D5" s="55" t="s">
        <v>100</v>
      </c>
    </row>
    <row r="6" spans="1:4" ht="28" x14ac:dyDescent="0.2">
      <c r="A6" s="19" t="s">
        <v>26</v>
      </c>
      <c r="B6" s="19" t="s">
        <v>27</v>
      </c>
      <c r="C6" s="25">
        <v>15.39</v>
      </c>
      <c r="D6" s="55" t="s">
        <v>100</v>
      </c>
    </row>
    <row r="7" spans="1:4" ht="28" x14ac:dyDescent="0.2">
      <c r="A7" s="19" t="s">
        <v>28</v>
      </c>
      <c r="B7" s="19" t="s">
        <v>27</v>
      </c>
      <c r="C7" s="25">
        <v>10.7</v>
      </c>
      <c r="D7" s="55" t="s">
        <v>100</v>
      </c>
    </row>
    <row r="8" spans="1:4" x14ac:dyDescent="0.2">
      <c r="A8" s="26"/>
      <c r="B8" s="26"/>
      <c r="C8" s="26"/>
      <c r="D8" s="56"/>
    </row>
    <row r="9" spans="1:4" x14ac:dyDescent="0.2">
      <c r="A9" s="14" t="s">
        <v>144</v>
      </c>
      <c r="B9" s="4"/>
      <c r="C9" s="4"/>
      <c r="D9" s="57"/>
    </row>
    <row r="10" spans="1:4" ht="28" x14ac:dyDescent="0.2">
      <c r="A10" s="19" t="s">
        <v>29</v>
      </c>
      <c r="B10" s="19" t="s">
        <v>30</v>
      </c>
      <c r="C10" s="27">
        <v>0.01</v>
      </c>
      <c r="D10" s="55" t="s">
        <v>153</v>
      </c>
    </row>
    <row r="11" spans="1:4" ht="42" x14ac:dyDescent="0.2">
      <c r="A11" s="19" t="s">
        <v>160</v>
      </c>
      <c r="B11" s="19" t="s">
        <v>30</v>
      </c>
      <c r="C11" s="27">
        <v>0.09</v>
      </c>
      <c r="D11" s="55" t="s">
        <v>154</v>
      </c>
    </row>
    <row r="12" spans="1:4" ht="28" x14ac:dyDescent="0.2">
      <c r="A12" s="19" t="s">
        <v>31</v>
      </c>
      <c r="B12" s="19" t="s">
        <v>30</v>
      </c>
      <c r="C12" s="27">
        <v>6.3E-2</v>
      </c>
      <c r="D12" s="55" t="s">
        <v>101</v>
      </c>
    </row>
    <row r="13" spans="1:4" ht="28" x14ac:dyDescent="0.2">
      <c r="A13" s="19" t="s">
        <v>32</v>
      </c>
      <c r="B13" s="19" t="s">
        <v>33</v>
      </c>
      <c r="C13" s="27">
        <v>1.4999999999999999E-2</v>
      </c>
      <c r="D13" s="55" t="s">
        <v>153</v>
      </c>
    </row>
    <row r="14" spans="1:4" ht="28" customHeight="1" x14ac:dyDescent="0.2">
      <c r="A14" s="19" t="s">
        <v>34</v>
      </c>
      <c r="B14" s="19" t="s">
        <v>30</v>
      </c>
      <c r="C14" s="28">
        <f>$C$12+$C$13</f>
        <v>7.8E-2</v>
      </c>
      <c r="D14" s="55"/>
    </row>
    <row r="15" spans="1:4" ht="28" x14ac:dyDescent="0.2">
      <c r="A15" s="19" t="s">
        <v>10</v>
      </c>
      <c r="B15" s="19" t="s">
        <v>35</v>
      </c>
      <c r="C15" s="29">
        <v>4.5</v>
      </c>
      <c r="D15" s="55" t="s">
        <v>153</v>
      </c>
    </row>
    <row r="16" spans="1:4" ht="28" x14ac:dyDescent="0.2">
      <c r="A16" s="19" t="s">
        <v>36</v>
      </c>
      <c r="B16" s="19" t="s">
        <v>25</v>
      </c>
      <c r="C16" s="24">
        <v>297</v>
      </c>
      <c r="D16" s="55" t="s">
        <v>153</v>
      </c>
    </row>
    <row r="17" spans="1:4" ht="28" x14ac:dyDescent="0.2">
      <c r="A17" s="19" t="s">
        <v>37</v>
      </c>
      <c r="B17" s="19" t="s">
        <v>30</v>
      </c>
      <c r="C17" s="27">
        <v>0.32</v>
      </c>
      <c r="D17" s="55" t="s">
        <v>153</v>
      </c>
    </row>
    <row r="18" spans="1:4" ht="28" x14ac:dyDescent="0.2">
      <c r="A18" s="19" t="s">
        <v>38</v>
      </c>
      <c r="B18" s="19" t="s">
        <v>39</v>
      </c>
      <c r="C18" s="29">
        <v>-1</v>
      </c>
      <c r="D18" s="55" t="s">
        <v>145</v>
      </c>
    </row>
    <row r="19" spans="1:4" ht="42" x14ac:dyDescent="0.2">
      <c r="A19" s="19" t="s">
        <v>40</v>
      </c>
      <c r="B19" s="19" t="s">
        <v>41</v>
      </c>
      <c r="C19" s="30">
        <v>81</v>
      </c>
      <c r="D19" s="55" t="s">
        <v>102</v>
      </c>
    </row>
    <row r="20" spans="1:4" ht="42" customHeight="1" x14ac:dyDescent="0.2">
      <c r="A20" s="19" t="s">
        <v>42</v>
      </c>
      <c r="B20" s="19" t="s">
        <v>41</v>
      </c>
      <c r="C20" s="30">
        <v>41</v>
      </c>
      <c r="D20" s="55" t="s">
        <v>103</v>
      </c>
    </row>
    <row r="21" spans="1:4" ht="42" customHeight="1" x14ac:dyDescent="0.2">
      <c r="A21" s="19" t="s">
        <v>43</v>
      </c>
      <c r="B21" s="19" t="s">
        <v>25</v>
      </c>
      <c r="C21" s="31">
        <v>114.294</v>
      </c>
      <c r="D21" s="55" t="s">
        <v>104</v>
      </c>
    </row>
    <row r="22" spans="1:4" x14ac:dyDescent="0.2">
      <c r="A22" s="26"/>
      <c r="B22" s="26"/>
      <c r="C22" s="26"/>
      <c r="D22" s="56"/>
    </row>
    <row r="23" spans="1:4" x14ac:dyDescent="0.2">
      <c r="A23" s="14" t="s">
        <v>44</v>
      </c>
      <c r="B23" s="4"/>
      <c r="C23" s="4"/>
      <c r="D23" s="57"/>
    </row>
    <row r="24" spans="1:4" ht="27" customHeight="1" x14ac:dyDescent="0.2">
      <c r="A24" s="19" t="s">
        <v>24</v>
      </c>
      <c r="B24" s="19" t="s">
        <v>25</v>
      </c>
      <c r="C24" s="24">
        <v>24306</v>
      </c>
      <c r="D24" s="55" t="s">
        <v>100</v>
      </c>
    </row>
    <row r="25" spans="1:4" ht="28" customHeight="1" x14ac:dyDescent="0.2">
      <c r="A25" s="19" t="s">
        <v>26</v>
      </c>
      <c r="B25" s="19" t="s">
        <v>27</v>
      </c>
      <c r="C25" s="25">
        <v>16.72</v>
      </c>
      <c r="D25" s="55" t="s">
        <v>100</v>
      </c>
    </row>
    <row r="26" spans="1:4" ht="28" customHeight="1" x14ac:dyDescent="0.2">
      <c r="A26" s="19" t="s">
        <v>28</v>
      </c>
      <c r="B26" s="19" t="s">
        <v>27</v>
      </c>
      <c r="C26" s="25">
        <v>11.4</v>
      </c>
      <c r="D26" s="55" t="s">
        <v>100</v>
      </c>
    </row>
    <row r="27" spans="1:4" ht="28" customHeight="1" x14ac:dyDescent="0.2">
      <c r="A27" s="19" t="s">
        <v>10</v>
      </c>
      <c r="B27" s="19" t="s">
        <v>35</v>
      </c>
      <c r="C27" s="29">
        <v>4.43</v>
      </c>
      <c r="D27" s="55" t="s">
        <v>100</v>
      </c>
    </row>
    <row r="28" spans="1:4" ht="28" customHeight="1" x14ac:dyDescent="0.2">
      <c r="A28" s="19" t="s">
        <v>36</v>
      </c>
      <c r="B28" s="19" t="s">
        <v>25</v>
      </c>
      <c r="C28" s="24">
        <v>295</v>
      </c>
      <c r="D28" s="55" t="s">
        <v>100</v>
      </c>
    </row>
    <row r="29" spans="1:4" ht="28" customHeight="1" x14ac:dyDescent="0.2">
      <c r="A29" s="19" t="s">
        <v>45</v>
      </c>
      <c r="B29" s="19" t="s">
        <v>41</v>
      </c>
      <c r="C29" s="30">
        <v>116</v>
      </c>
      <c r="D29" s="55" t="s">
        <v>106</v>
      </c>
    </row>
    <row r="30" spans="1:4" ht="28" customHeight="1" x14ac:dyDescent="0.2">
      <c r="A30" s="19" t="s">
        <v>46</v>
      </c>
      <c r="B30" s="19" t="s">
        <v>41</v>
      </c>
      <c r="C30" s="30">
        <v>46</v>
      </c>
      <c r="D30" s="55" t="s">
        <v>107</v>
      </c>
    </row>
    <row r="31" spans="1:4" ht="28" x14ac:dyDescent="0.2">
      <c r="A31" s="19" t="s">
        <v>47</v>
      </c>
      <c r="B31" s="19" t="s">
        <v>30</v>
      </c>
      <c r="C31" s="27">
        <v>0.42044999999999999</v>
      </c>
      <c r="D31" s="55" t="s">
        <v>108</v>
      </c>
    </row>
    <row r="32" spans="1:4" ht="28" customHeight="1" x14ac:dyDescent="0.2">
      <c r="A32" s="19" t="s">
        <v>48</v>
      </c>
      <c r="B32" s="19" t="s">
        <v>25</v>
      </c>
      <c r="C32" s="31">
        <v>111.127</v>
      </c>
      <c r="D32" s="55" t="s">
        <v>107</v>
      </c>
    </row>
    <row r="33" spans="1:4" ht="28" x14ac:dyDescent="0.2">
      <c r="A33" s="19" t="s">
        <v>49</v>
      </c>
      <c r="B33" s="19" t="s">
        <v>41</v>
      </c>
      <c r="C33" s="30">
        <v>-176</v>
      </c>
      <c r="D33" s="55" t="s">
        <v>108</v>
      </c>
    </row>
    <row r="34" spans="1:4" ht="28" x14ac:dyDescent="0.2">
      <c r="A34" s="19" t="s">
        <v>50</v>
      </c>
      <c r="B34" s="19" t="s">
        <v>39</v>
      </c>
      <c r="C34" s="29">
        <v>-0.92</v>
      </c>
      <c r="D34" s="55" t="s">
        <v>108</v>
      </c>
    </row>
    <row r="35" spans="1:4" ht="28" customHeight="1" x14ac:dyDescent="0.2">
      <c r="A35" s="19" t="s">
        <v>51</v>
      </c>
      <c r="B35" s="19" t="s">
        <v>41</v>
      </c>
      <c r="C35" s="30">
        <v>4065</v>
      </c>
      <c r="D35" s="55" t="s">
        <v>107</v>
      </c>
    </row>
  </sheetData>
  <pageMargins left="0.75" right="0.75" top="1" bottom="1" header="0.511811023622047" footer="0.511811023622047"/>
  <pageSetup paperSize="9" scale="99" fitToHeight="2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2"/>
  <sheetViews>
    <sheetView showGridLines="0" zoomScaleNormal="100" workbookViewId="0"/>
  </sheetViews>
  <sheetFormatPr baseColWidth="10" defaultColWidth="8.6640625" defaultRowHeight="15" x14ac:dyDescent="0.2"/>
  <cols>
    <col min="1" max="1" width="44" customWidth="1"/>
    <col min="2" max="2" width="8" customWidth="1"/>
    <col min="3" max="5" width="13" customWidth="1"/>
    <col min="6" max="6" width="10" customWidth="1"/>
    <col min="7" max="7" width="9" customWidth="1"/>
    <col min="8" max="8" width="55" customWidth="1"/>
    <col min="9" max="9" width="6" hidden="1" customWidth="1"/>
  </cols>
  <sheetData>
    <row r="1" spans="1:9" ht="20" x14ac:dyDescent="0.2">
      <c r="A1" s="11" t="s">
        <v>52</v>
      </c>
    </row>
    <row r="2" spans="1:9" x14ac:dyDescent="0.2">
      <c r="A2" s="1" t="s">
        <v>109</v>
      </c>
    </row>
    <row r="4" spans="1:9" x14ac:dyDescent="0.2">
      <c r="A4" s="12" t="s">
        <v>20</v>
      </c>
      <c r="B4" s="12" t="s">
        <v>21</v>
      </c>
      <c r="C4" s="12" t="s">
        <v>53</v>
      </c>
      <c r="D4" s="12" t="s">
        <v>4</v>
      </c>
      <c r="E4" s="12" t="s">
        <v>5</v>
      </c>
      <c r="F4" s="12" t="s">
        <v>54</v>
      </c>
      <c r="G4" s="12" t="s">
        <v>6</v>
      </c>
      <c r="H4" s="12" t="s">
        <v>55</v>
      </c>
      <c r="I4" s="3" t="s">
        <v>56</v>
      </c>
    </row>
    <row r="5" spans="1:9" x14ac:dyDescent="0.2">
      <c r="A5" s="14" t="s">
        <v>57</v>
      </c>
      <c r="B5" s="4"/>
      <c r="C5" s="4"/>
      <c r="D5" s="4"/>
      <c r="E5" s="14"/>
      <c r="F5" s="4"/>
      <c r="G5" s="4"/>
      <c r="H5" s="4"/>
    </row>
    <row r="6" spans="1:9" ht="28" x14ac:dyDescent="0.2">
      <c r="A6" s="19" t="s">
        <v>24</v>
      </c>
      <c r="B6" s="19" t="s">
        <v>25</v>
      </c>
      <c r="C6" s="41">
        <f>Inputs!$C$5*(1+Inputs!$C$10)</f>
        <v>24298.58</v>
      </c>
      <c r="D6" s="41">
        <f>Inputs!$C$24</f>
        <v>24306</v>
      </c>
      <c r="E6" s="41">
        <f>D6-C6</f>
        <v>7.4199999999982538</v>
      </c>
      <c r="F6" s="22">
        <f>IFERROR(E6/ABS(C6),"")</f>
        <v>3.053676387672964E-4</v>
      </c>
      <c r="G6" s="33" t="str">
        <f>IF(I6=0,"",IF(ROUND(E6,6)=0,"-",IF(E6*I6&gt;0,"F","U")))</f>
        <v/>
      </c>
      <c r="H6" s="15" t="s">
        <v>146</v>
      </c>
      <c r="I6" s="5">
        <v>0</v>
      </c>
    </row>
    <row r="7" spans="1:9" ht="28" x14ac:dyDescent="0.2">
      <c r="A7" s="19" t="s">
        <v>58</v>
      </c>
      <c r="B7" s="19" t="s">
        <v>27</v>
      </c>
      <c r="C7" s="42">
        <f>Inputs!$C$6*(1+Inputs!$C$11)</f>
        <v>16.775100000000002</v>
      </c>
      <c r="D7" s="42">
        <f>Inputs!$C$25</f>
        <v>16.72</v>
      </c>
      <c r="E7" s="42">
        <f>D7-C7</f>
        <v>-5.5100000000003035E-2</v>
      </c>
      <c r="F7" s="22">
        <f>IFERROR(E7/ABS(C7),"")</f>
        <v>-3.2846301959453613E-3</v>
      </c>
      <c r="G7" s="33" t="str">
        <f>IF(I7=0,"",IF(ROUND(E7,6)=0,"-",IF(E7*I7&gt;0,"F","U")))</f>
        <v>U</v>
      </c>
      <c r="H7" s="15" t="s">
        <v>147</v>
      </c>
      <c r="I7" s="5">
        <v>1</v>
      </c>
    </row>
    <row r="8" spans="1:9" ht="28" x14ac:dyDescent="0.2">
      <c r="A8" s="19" t="s">
        <v>59</v>
      </c>
      <c r="B8" s="19" t="s">
        <v>27</v>
      </c>
      <c r="C8" s="42">
        <f>Inputs!$C$7*(1+Inputs!$C$14)</f>
        <v>11.534599999999999</v>
      </c>
      <c r="D8" s="42">
        <f>Inputs!$C$26</f>
        <v>11.4</v>
      </c>
      <c r="E8" s="42">
        <f>D8-C8</f>
        <v>-0.13459999999999894</v>
      </c>
      <c r="F8" s="22">
        <f>IFERROR(E8/ABS(C8),"")</f>
        <v>-1.1669238638530937E-2</v>
      </c>
      <c r="G8" s="33" t="str">
        <f>IF(I8=0,"",IF(ROUND(E8,6)=0,"-",IF(E8*I8&gt;0,"F","U")))</f>
        <v>F</v>
      </c>
      <c r="H8" s="15" t="s">
        <v>148</v>
      </c>
      <c r="I8" s="5">
        <v>-1</v>
      </c>
    </row>
    <row r="9" spans="1:9" ht="28" customHeight="1" x14ac:dyDescent="0.2">
      <c r="A9" s="19" t="s">
        <v>60</v>
      </c>
      <c r="B9" s="19" t="s">
        <v>35</v>
      </c>
      <c r="C9" s="35">
        <f>Inputs!$C$15</f>
        <v>4.5</v>
      </c>
      <c r="D9" s="35">
        <f>Inputs!$C$27</f>
        <v>4.43</v>
      </c>
      <c r="E9" s="43">
        <f>D9-C9</f>
        <v>-7.0000000000000284E-2</v>
      </c>
      <c r="F9" s="22">
        <f>IFERROR(E9/ABS(C9),"")</f>
        <v>-1.5555555555555619E-2</v>
      </c>
      <c r="G9" s="33" t="str">
        <f>IF(I9=0,"",IF(ROUND(E9,6)=0,"-",IF(E9*I9&gt;0,"F","U")))</f>
        <v>F</v>
      </c>
      <c r="H9" s="15" t="s">
        <v>124</v>
      </c>
      <c r="I9" s="5">
        <v>-1</v>
      </c>
    </row>
    <row r="10" spans="1:9" ht="28" x14ac:dyDescent="0.2">
      <c r="A10" s="19" t="s">
        <v>61</v>
      </c>
      <c r="B10" s="19" t="s">
        <v>25</v>
      </c>
      <c r="C10" s="44">
        <f>Inputs!$C$16</f>
        <v>297</v>
      </c>
      <c r="D10" s="44">
        <f>Inputs!$C$28</f>
        <v>295</v>
      </c>
      <c r="E10" s="41">
        <f>D10-C10</f>
        <v>-2</v>
      </c>
      <c r="F10" s="22">
        <f>IFERROR(E10/ABS(C10),"")</f>
        <v>-6.7340067340067337E-3</v>
      </c>
      <c r="G10" s="33" t="str">
        <f>IF(I10=0,"",IF(ROUND(E10,6)=0,"-",IF(E10*I10&gt;0,"F","U")))</f>
        <v>F</v>
      </c>
      <c r="H10" s="15" t="s">
        <v>126</v>
      </c>
      <c r="I10" s="5">
        <v>-1</v>
      </c>
    </row>
    <row r="12" spans="1:9" x14ac:dyDescent="0.2">
      <c r="A12" s="14" t="s">
        <v>62</v>
      </c>
      <c r="B12" s="4"/>
      <c r="C12" s="4"/>
      <c r="D12" s="4"/>
      <c r="E12" s="14"/>
      <c r="F12" s="4"/>
      <c r="G12" s="4"/>
      <c r="H12" s="4"/>
    </row>
    <row r="13" spans="1:9" ht="28" x14ac:dyDescent="0.2">
      <c r="A13" s="19" t="s">
        <v>63</v>
      </c>
      <c r="B13" s="19" t="s">
        <v>41</v>
      </c>
      <c r="C13" s="20">
        <f>C6*C7/100</f>
        <v>4076.1110935800011</v>
      </c>
      <c r="D13" s="20">
        <f>D6*D7/100</f>
        <v>4063.9631999999997</v>
      </c>
      <c r="E13" s="20">
        <f t="shared" ref="E13:E24" si="0">D13-C13</f>
        <v>-12.147893580001437</v>
      </c>
      <c r="F13" s="22">
        <f t="shared" ref="F13:F19" si="1">IFERROR(E13/ABS(C13),"")</f>
        <v>-2.9802655769453237E-3</v>
      </c>
      <c r="G13" s="33" t="str">
        <f t="shared" ref="G13:G24" si="2">IF(I13=0,"",IF(ROUND(E13,6)=0,"-",IF(E13*I13&gt;0,"F","U")))</f>
        <v>U</v>
      </c>
      <c r="H13" s="15" t="s">
        <v>127</v>
      </c>
      <c r="I13" s="5">
        <v>1</v>
      </c>
    </row>
    <row r="14" spans="1:9" ht="28" x14ac:dyDescent="0.2">
      <c r="A14" s="19" t="s">
        <v>64</v>
      </c>
      <c r="B14" s="19" t="s">
        <v>41</v>
      </c>
      <c r="C14" s="20">
        <f>C6*C8/100</f>
        <v>2802.7440086799998</v>
      </c>
      <c r="D14" s="20">
        <f>D6*D8/100</f>
        <v>2770.884</v>
      </c>
      <c r="E14" s="20">
        <f t="shared" si="0"/>
        <v>-31.860008679999737</v>
      </c>
      <c r="F14" s="22">
        <f t="shared" si="1"/>
        <v>-1.1367434407612828E-2</v>
      </c>
      <c r="G14" s="33" t="str">
        <f t="shared" si="2"/>
        <v>F</v>
      </c>
      <c r="H14" s="15" t="s">
        <v>128</v>
      </c>
      <c r="I14" s="5">
        <v>-1</v>
      </c>
    </row>
    <row r="15" spans="1:9" ht="28" x14ac:dyDescent="0.2">
      <c r="A15" s="19" t="s">
        <v>65</v>
      </c>
      <c r="B15" s="19" t="s">
        <v>41</v>
      </c>
      <c r="C15" s="20">
        <f>C10*C9</f>
        <v>1336.5</v>
      </c>
      <c r="D15" s="20">
        <f>D10*D9</f>
        <v>1306.8499999999999</v>
      </c>
      <c r="E15" s="20">
        <f t="shared" si="0"/>
        <v>-29.650000000000091</v>
      </c>
      <c r="F15" s="22">
        <f t="shared" si="1"/>
        <v>-2.2184811073700031E-2</v>
      </c>
      <c r="G15" s="33" t="str">
        <f t="shared" si="2"/>
        <v>F</v>
      </c>
      <c r="H15" s="15" t="s">
        <v>149</v>
      </c>
      <c r="I15" s="5">
        <v>-1</v>
      </c>
    </row>
    <row r="16" spans="1:9" ht="28" x14ac:dyDescent="0.2">
      <c r="A16" s="19" t="s">
        <v>45</v>
      </c>
      <c r="B16" s="19" t="s">
        <v>41</v>
      </c>
      <c r="C16" s="37">
        <f>Inputs!$C$19</f>
        <v>81</v>
      </c>
      <c r="D16" s="37">
        <f>Inputs!$C$29</f>
        <v>116</v>
      </c>
      <c r="E16" s="20">
        <f t="shared" si="0"/>
        <v>35</v>
      </c>
      <c r="F16" s="22">
        <f t="shared" si="1"/>
        <v>0.43209876543209874</v>
      </c>
      <c r="G16" s="33" t="str">
        <f t="shared" si="2"/>
        <v>U</v>
      </c>
      <c r="H16" s="15" t="s">
        <v>125</v>
      </c>
      <c r="I16" s="5">
        <v>-1</v>
      </c>
    </row>
    <row r="17" spans="1:9" ht="28" x14ac:dyDescent="0.2">
      <c r="A17" s="45" t="s">
        <v>66</v>
      </c>
      <c r="B17" s="19" t="s">
        <v>41</v>
      </c>
      <c r="C17" s="38">
        <f>C13-C14-C15-C16</f>
        <v>-144.13291509999863</v>
      </c>
      <c r="D17" s="38">
        <f>D13-D14-D15-D16</f>
        <v>-129.77080000000024</v>
      </c>
      <c r="E17" s="38">
        <f t="shared" si="0"/>
        <v>14.362115099998391</v>
      </c>
      <c r="F17" s="22">
        <f t="shared" si="1"/>
        <v>9.9644935995598469E-2</v>
      </c>
      <c r="G17" s="33" t="str">
        <f t="shared" si="2"/>
        <v>F</v>
      </c>
      <c r="H17" s="15" t="s">
        <v>129</v>
      </c>
      <c r="I17" s="5">
        <v>1</v>
      </c>
    </row>
    <row r="18" spans="1:9" ht="28" x14ac:dyDescent="0.2">
      <c r="A18" s="19" t="s">
        <v>67</v>
      </c>
      <c r="B18" s="19" t="s">
        <v>41</v>
      </c>
      <c r="C18" s="37">
        <f>Inputs!$C$20</f>
        <v>41</v>
      </c>
      <c r="D18" s="37">
        <f>Inputs!$C$30</f>
        <v>46</v>
      </c>
      <c r="E18" s="20">
        <f t="shared" si="0"/>
        <v>5</v>
      </c>
      <c r="F18" s="22">
        <f t="shared" si="1"/>
        <v>0.12195121951219512</v>
      </c>
      <c r="G18" s="33" t="str">
        <f t="shared" si="2"/>
        <v>U</v>
      </c>
      <c r="H18" s="15" t="s">
        <v>130</v>
      </c>
      <c r="I18" s="5">
        <v>-1</v>
      </c>
    </row>
    <row r="19" spans="1:9" ht="28" customHeight="1" x14ac:dyDescent="0.2">
      <c r="A19" s="45" t="s">
        <v>68</v>
      </c>
      <c r="B19" s="19" t="s">
        <v>41</v>
      </c>
      <c r="C19" s="38">
        <f>C17-C18</f>
        <v>-185.13291509999863</v>
      </c>
      <c r="D19" s="38">
        <f>D17-D18</f>
        <v>-175.77080000000024</v>
      </c>
      <c r="E19" s="38">
        <f t="shared" si="0"/>
        <v>9.3621150999983911</v>
      </c>
      <c r="F19" s="22">
        <f t="shared" si="1"/>
        <v>5.0569695264299656E-2</v>
      </c>
      <c r="G19" s="33" t="str">
        <f t="shared" si="2"/>
        <v>F</v>
      </c>
      <c r="H19" s="15" t="s">
        <v>139</v>
      </c>
      <c r="I19" s="5">
        <v>1</v>
      </c>
    </row>
    <row r="20" spans="1:9" ht="28" x14ac:dyDescent="0.2">
      <c r="A20" s="19" t="s">
        <v>37</v>
      </c>
      <c r="B20" s="19" t="s">
        <v>30</v>
      </c>
      <c r="C20" s="32">
        <f>Inputs!$C$17</f>
        <v>0.32</v>
      </c>
      <c r="D20" s="32">
        <f>Inputs!$C$31</f>
        <v>0.42044999999999999</v>
      </c>
      <c r="E20" s="46">
        <f t="shared" si="0"/>
        <v>0.10044999999999998</v>
      </c>
      <c r="F20" s="22"/>
      <c r="G20" s="33" t="str">
        <f t="shared" si="2"/>
        <v/>
      </c>
      <c r="H20" s="15" t="s">
        <v>110</v>
      </c>
      <c r="I20" s="5">
        <v>0</v>
      </c>
    </row>
    <row r="21" spans="1:9" x14ac:dyDescent="0.2">
      <c r="A21" s="19" t="s">
        <v>69</v>
      </c>
      <c r="B21" s="19" t="s">
        <v>41</v>
      </c>
      <c r="C21" s="20">
        <f>C19*C20</f>
        <v>-59.242532831999561</v>
      </c>
      <c r="D21" s="20">
        <f>D19*D20</f>
        <v>-73.902832860000103</v>
      </c>
      <c r="E21" s="20">
        <f t="shared" si="0"/>
        <v>-14.660300028000542</v>
      </c>
      <c r="F21" s="22">
        <f>IFERROR(E21/ABS(C21),"")</f>
        <v>-0.24746241133164132</v>
      </c>
      <c r="G21" s="33" t="str">
        <f t="shared" si="2"/>
        <v/>
      </c>
      <c r="H21" s="15" t="s">
        <v>140</v>
      </c>
      <c r="I21" s="5">
        <v>0</v>
      </c>
    </row>
    <row r="22" spans="1:9" x14ac:dyDescent="0.2">
      <c r="A22" s="45" t="s">
        <v>70</v>
      </c>
      <c r="B22" s="19" t="s">
        <v>41</v>
      </c>
      <c r="C22" s="38">
        <f>C19-C21</f>
        <v>-125.89038226799906</v>
      </c>
      <c r="D22" s="38">
        <f>D19-D21</f>
        <v>-101.86796714000013</v>
      </c>
      <c r="E22" s="38">
        <f t="shared" si="0"/>
        <v>24.022415127998926</v>
      </c>
      <c r="F22" s="22">
        <f>IFERROR(E22/ABS(C22),"")</f>
        <v>0.19082009836827185</v>
      </c>
      <c r="G22" s="33" t="str">
        <f t="shared" si="2"/>
        <v>F</v>
      </c>
      <c r="H22" s="15" t="s">
        <v>141</v>
      </c>
      <c r="I22" s="5">
        <v>1</v>
      </c>
    </row>
    <row r="23" spans="1:9" x14ac:dyDescent="0.2">
      <c r="A23" s="19" t="s">
        <v>48</v>
      </c>
      <c r="B23" s="19" t="s">
        <v>25</v>
      </c>
      <c r="C23" s="47">
        <f>Inputs!$C$21</f>
        <v>114.294</v>
      </c>
      <c r="D23" s="47">
        <f>Inputs!$C$32</f>
        <v>111.127</v>
      </c>
      <c r="E23" s="48">
        <f t="shared" si="0"/>
        <v>-3.1670000000000016</v>
      </c>
      <c r="F23" s="22">
        <f>IFERROR(E23/ABS(C23),"")</f>
        <v>-2.7709241080021714E-2</v>
      </c>
      <c r="G23" s="33" t="str">
        <f t="shared" si="2"/>
        <v/>
      </c>
      <c r="H23" s="15" t="s">
        <v>131</v>
      </c>
      <c r="I23" s="5">
        <v>0</v>
      </c>
    </row>
    <row r="24" spans="1:9" ht="28" x14ac:dyDescent="0.2">
      <c r="A24" s="45" t="s">
        <v>71</v>
      </c>
      <c r="B24" s="19" t="s">
        <v>39</v>
      </c>
      <c r="C24" s="36">
        <f>IFERROR(C22/C23,0)</f>
        <v>-1.1014609889232949</v>
      </c>
      <c r="D24" s="36">
        <f>IFERROR(D22/D23,0)</f>
        <v>-0.916680618931494</v>
      </c>
      <c r="E24" s="36">
        <f t="shared" si="0"/>
        <v>0.18478036999180092</v>
      </c>
      <c r="F24" s="22">
        <f>IFERROR(E24/ABS(C24),"")</f>
        <v>0.16775934132032061</v>
      </c>
      <c r="G24" s="33" t="str">
        <f t="shared" si="2"/>
        <v>F</v>
      </c>
      <c r="H24" s="49" t="s">
        <v>142</v>
      </c>
      <c r="I24" s="5">
        <v>1</v>
      </c>
    </row>
    <row r="26" spans="1:9" x14ac:dyDescent="0.2">
      <c r="A26" s="12" t="s">
        <v>72</v>
      </c>
      <c r="B26" s="12" t="s">
        <v>21</v>
      </c>
      <c r="C26" s="12" t="s">
        <v>73</v>
      </c>
      <c r="D26" s="12" t="s">
        <v>74</v>
      </c>
      <c r="E26" s="12" t="s">
        <v>75</v>
      </c>
    </row>
    <row r="27" spans="1:9" x14ac:dyDescent="0.2">
      <c r="A27" s="19" t="s">
        <v>76</v>
      </c>
      <c r="B27" s="19" t="s">
        <v>39</v>
      </c>
      <c r="C27" s="35">
        <f>Inputs!$C$18</f>
        <v>-1</v>
      </c>
      <c r="D27" s="43">
        <f>C24</f>
        <v>-1.1014609889232949</v>
      </c>
      <c r="E27" s="36">
        <f>C27-D27</f>
        <v>0.10146098892329491</v>
      </c>
    </row>
    <row r="28" spans="1:9" x14ac:dyDescent="0.2">
      <c r="A28" s="19" t="s">
        <v>77</v>
      </c>
      <c r="B28" s="19" t="s">
        <v>39</v>
      </c>
      <c r="C28" s="35">
        <f>Inputs!$C$34</f>
        <v>-0.92</v>
      </c>
      <c r="D28" s="43">
        <f>D24</f>
        <v>-0.916680618931494</v>
      </c>
      <c r="E28" s="36">
        <f>C28-D28</f>
        <v>-3.3193810685060443E-3</v>
      </c>
    </row>
    <row r="29" spans="1:9" x14ac:dyDescent="0.2">
      <c r="A29" s="19" t="s">
        <v>78</v>
      </c>
      <c r="B29" s="19" t="s">
        <v>41</v>
      </c>
      <c r="C29" s="37">
        <f>Inputs!$C$33</f>
        <v>-176</v>
      </c>
      <c r="D29" s="20">
        <f>D19</f>
        <v>-175.77080000000024</v>
      </c>
      <c r="E29" s="38">
        <f>C29-D29</f>
        <v>-0.22919999999976426</v>
      </c>
    </row>
    <row r="30" spans="1:9" x14ac:dyDescent="0.2">
      <c r="A30" s="19" t="s">
        <v>79</v>
      </c>
      <c r="B30" s="19" t="s">
        <v>41</v>
      </c>
      <c r="C30" s="37">
        <f>Inputs!$C$35</f>
        <v>4065</v>
      </c>
      <c r="D30" s="20">
        <f>D13</f>
        <v>4063.9631999999997</v>
      </c>
      <c r="E30" s="38">
        <f>C30-D30</f>
        <v>1.0368000000003121</v>
      </c>
    </row>
    <row r="32" spans="1:9" x14ac:dyDescent="0.2">
      <c r="A32" s="1" t="s">
        <v>123</v>
      </c>
    </row>
  </sheetData>
  <pageMargins left="0.75" right="0.75" top="1" bottom="1" header="0.511811023622047" footer="0.511811023622047"/>
  <pageSetup paperSize="9" scale="74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9"/>
  <sheetViews>
    <sheetView showGridLines="0" zoomScaleNormal="100" workbookViewId="0"/>
  </sheetViews>
  <sheetFormatPr baseColWidth="10" defaultColWidth="8.6640625" defaultRowHeight="15" x14ac:dyDescent="0.2"/>
  <cols>
    <col min="1" max="1" width="40.83203125" customWidth="1"/>
    <col min="2" max="2" width="15" customWidth="1"/>
    <col min="3" max="3" width="14" customWidth="1"/>
    <col min="4" max="4" width="11" customWidth="1"/>
    <col min="5" max="5" width="55" customWidth="1"/>
    <col min="6" max="6" width="33" customWidth="1"/>
    <col min="7" max="7" width="38.5" bestFit="1" customWidth="1"/>
    <col min="8" max="19" width="10" customWidth="1"/>
  </cols>
  <sheetData>
    <row r="1" spans="1:6" ht="20" x14ac:dyDescent="0.2">
      <c r="A1" s="11" t="s">
        <v>80</v>
      </c>
    </row>
    <row r="2" spans="1:6" x14ac:dyDescent="0.2">
      <c r="A2" s="1" t="s">
        <v>81</v>
      </c>
    </row>
    <row r="4" spans="1:6" ht="28" x14ac:dyDescent="0.2">
      <c r="A4" s="12" t="s">
        <v>82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151</v>
      </c>
    </row>
    <row r="5" spans="1:6" x14ac:dyDescent="0.2">
      <c r="A5" s="16" t="s">
        <v>87</v>
      </c>
      <c r="B5" s="6">
        <f>Variance!$C$19</f>
        <v>-185.13291509999863</v>
      </c>
      <c r="C5" s="7">
        <f>Variance!$C$24</f>
        <v>-1.1014609889232949</v>
      </c>
      <c r="D5" s="8"/>
      <c r="E5" s="9"/>
      <c r="F5" s="9"/>
    </row>
    <row r="6" spans="1:6" ht="28" x14ac:dyDescent="0.2">
      <c r="A6" s="19" t="s">
        <v>88</v>
      </c>
      <c r="B6" s="20">
        <f>(Variance!$D$6-Variance!$C$6)*Variance!$C$7/100</f>
        <v>1.2447124199997071</v>
      </c>
      <c r="C6" s="21">
        <f>IFERROR(B6*(1-Variance!$C$20)/Variance!$C$23,0)</f>
        <v>7.4055020001032494E-3</v>
      </c>
      <c r="D6" s="22">
        <f t="shared" ref="D6:D15" si="0">IFERROR(C6/(C$16-C$5),"")</f>
        <v>4.0077319903795587E-2</v>
      </c>
      <c r="E6" s="15" t="s">
        <v>111</v>
      </c>
      <c r="F6" s="59" t="s">
        <v>121</v>
      </c>
    </row>
    <row r="7" spans="1:6" ht="42" x14ac:dyDescent="0.2">
      <c r="A7" s="19" t="s">
        <v>89</v>
      </c>
      <c r="B7" s="20">
        <f>(Variance!$D$7-Variance!$C$7)*Variance!$D$6/100</f>
        <v>-13.392606000000738</v>
      </c>
      <c r="C7" s="21">
        <f>IFERROR(B7*(1-Variance!$C$20)/Variance!$C$23,0)</f>
        <v>-7.9680228883410337E-2</v>
      </c>
      <c r="D7" s="22">
        <f t="shared" si="0"/>
        <v>-0.43121587475414447</v>
      </c>
      <c r="E7" s="15" t="s">
        <v>155</v>
      </c>
      <c r="F7" s="59" t="s">
        <v>58</v>
      </c>
    </row>
    <row r="8" spans="1:6" ht="28" x14ac:dyDescent="0.2">
      <c r="A8" s="19" t="s">
        <v>90</v>
      </c>
      <c r="B8" s="20">
        <f>-(Variance!$D$6-Variance!$C$6)*Variance!$C$8/100</f>
        <v>-0.85586731999979848</v>
      </c>
      <c r="C8" s="21">
        <f>IFERROR(B8*(1-Variance!$C$20)/Variance!$C$23,0)</f>
        <v>-5.0920413809986782E-3</v>
      </c>
      <c r="D8" s="22">
        <f t="shared" si="0"/>
        <v>-2.7557263692158052E-2</v>
      </c>
      <c r="E8" s="15" t="s">
        <v>111</v>
      </c>
      <c r="F8" s="59" t="s">
        <v>122</v>
      </c>
    </row>
    <row r="9" spans="1:6" ht="28" customHeight="1" x14ac:dyDescent="0.2">
      <c r="A9" s="19" t="s">
        <v>91</v>
      </c>
      <c r="B9" s="20">
        <f>-(Variance!$D$8-Variance!$C$8)*Variance!$D$6/100</f>
        <v>32.715875999999746</v>
      </c>
      <c r="C9" s="21">
        <f>IFERROR(B9*(1-Variance!$C$20)/Variance!$C$23,0)</f>
        <v>0.19464535041209358</v>
      </c>
      <c r="D9" s="22">
        <f t="shared" si="0"/>
        <v>1.0533875996715825</v>
      </c>
      <c r="E9" s="15" t="s">
        <v>133</v>
      </c>
      <c r="F9" s="59" t="s">
        <v>59</v>
      </c>
    </row>
    <row r="10" spans="1:6" ht="28" x14ac:dyDescent="0.2">
      <c r="A10" s="19" t="s">
        <v>92</v>
      </c>
      <c r="B10" s="20">
        <f>-(Variance!$D$9-Variance!$C$9)*Variance!$D$10</f>
        <v>20.650000000000084</v>
      </c>
      <c r="C10" s="21">
        <f>IFERROR(B10*(1-Variance!$C$20)/Variance!$C$23,0)</f>
        <v>0.12285859275202596</v>
      </c>
      <c r="D10" s="22">
        <f t="shared" si="0"/>
        <v>0.66488985143538371</v>
      </c>
      <c r="E10" s="15" t="s">
        <v>134</v>
      </c>
      <c r="F10" s="59" t="s">
        <v>114</v>
      </c>
    </row>
    <row r="11" spans="1:6" ht="28" x14ac:dyDescent="0.2">
      <c r="A11" s="19" t="s">
        <v>93</v>
      </c>
      <c r="B11" s="20">
        <f>-(Variance!$D$10-Variance!$C$10)*Variance!$C$9</f>
        <v>9</v>
      </c>
      <c r="C11" s="21">
        <f>IFERROR(B11*(1-Variance!$C$20)/Variance!$C$23,0)</f>
        <v>5.3546117906451779E-2</v>
      </c>
      <c r="D11" s="22">
        <f t="shared" si="0"/>
        <v>0.28978250183624354</v>
      </c>
      <c r="E11" s="15" t="s">
        <v>135</v>
      </c>
      <c r="F11" s="59" t="s">
        <v>115</v>
      </c>
    </row>
    <row r="12" spans="1:6" ht="28" x14ac:dyDescent="0.2">
      <c r="A12" s="19" t="s">
        <v>45</v>
      </c>
      <c r="B12" s="20">
        <f>-(Variance!$D$16-Variance!$C$16)</f>
        <v>-35</v>
      </c>
      <c r="C12" s="21">
        <f>IFERROR(B12*(1-Variance!$C$20)/Variance!$C$23,0)</f>
        <v>-0.2082349029695347</v>
      </c>
      <c r="D12" s="22">
        <f t="shared" si="0"/>
        <v>-1.1269319515853917</v>
      </c>
      <c r="E12" s="15" t="s">
        <v>112</v>
      </c>
      <c r="F12" s="59" t="s">
        <v>94</v>
      </c>
    </row>
    <row r="13" spans="1:6" ht="28" x14ac:dyDescent="0.2">
      <c r="A13" s="19" t="s">
        <v>95</v>
      </c>
      <c r="B13" s="20">
        <f>-(Variance!$D$18-Variance!$C$18)</f>
        <v>-5</v>
      </c>
      <c r="C13" s="21">
        <f>IFERROR(B13*(1-Variance!$C$20)/Variance!$C$23,0)</f>
        <v>-2.9747843281362096E-2</v>
      </c>
      <c r="D13" s="22">
        <f t="shared" si="0"/>
        <v>-0.16099027879791308</v>
      </c>
      <c r="E13" s="15" t="s">
        <v>132</v>
      </c>
      <c r="F13" s="59" t="s">
        <v>116</v>
      </c>
    </row>
    <row r="14" spans="1:6" ht="42" x14ac:dyDescent="0.2">
      <c r="A14" s="19" t="s">
        <v>37</v>
      </c>
      <c r="B14" s="23"/>
      <c r="C14" s="21">
        <f>IFERROR(Variance!$D$19*(Variance!$C$20-Variance!$D$20)/Variance!$C$23,0)</f>
        <v>0.15448034769979194</v>
      </c>
      <c r="D14" s="22">
        <f t="shared" si="0"/>
        <v>0.83602142211666619</v>
      </c>
      <c r="E14" s="15" t="s">
        <v>136</v>
      </c>
      <c r="F14" s="59"/>
    </row>
    <row r="15" spans="1:6" ht="28" x14ac:dyDescent="0.2">
      <c r="A15" s="19" t="s">
        <v>96</v>
      </c>
      <c r="B15" s="23"/>
      <c r="C15" s="21">
        <f>IFERROR(Variance!$D$19*(1-Variance!$D$20)*(1/Variance!$D$23-1/Variance!$C$23),0)</f>
        <v>-2.5400524263356244E-2</v>
      </c>
      <c r="D15" s="22">
        <f t="shared" si="0"/>
        <v>-0.13746332613406315</v>
      </c>
      <c r="E15" s="15" t="s">
        <v>113</v>
      </c>
      <c r="F15" s="59"/>
    </row>
    <row r="16" spans="1:6" x14ac:dyDescent="0.2">
      <c r="A16" s="16" t="s">
        <v>97</v>
      </c>
      <c r="B16" s="17">
        <f>SUM(B5:B15)</f>
        <v>-175.77079999999961</v>
      </c>
      <c r="C16" s="18">
        <f>SUM(C5:C15)</f>
        <v>-0.91668061893149066</v>
      </c>
      <c r="D16" s="8"/>
      <c r="E16" s="9"/>
      <c r="F16" s="60" t="s">
        <v>4</v>
      </c>
    </row>
    <row r="18" spans="1:3" x14ac:dyDescent="0.2">
      <c r="A18" s="50" t="s">
        <v>98</v>
      </c>
      <c r="B18" s="51">
        <f>ROUND(B16-Variance!$D$19,6)</f>
        <v>0</v>
      </c>
      <c r="C18" s="52">
        <f>ROUND(C16-Variance!$D$24,6)</f>
        <v>0</v>
      </c>
    </row>
    <row r="19" spans="1:3" x14ac:dyDescent="0.2">
      <c r="A19" s="39" t="s">
        <v>99</v>
      </c>
      <c r="C19" s="53">
        <f>Inputs!$C$34-Inputs!$C$18</f>
        <v>7.999999999999996E-2</v>
      </c>
    </row>
  </sheetData>
  <pageMargins left="0.75" right="0.75" top="1" bottom="1" header="0.511811023622047" footer="0.511811023622047"/>
  <pageSetup paperSize="9" scale="67" orientation="landscape" horizontalDpi="300" verticalDpi="300"/>
  <rowBreaks count="1" manualBreakCount="1">
    <brk id="20" max="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Inputs</vt:lpstr>
      <vt:lpstr>Variance</vt:lpstr>
      <vt:lpstr>Bridge</vt:lpstr>
      <vt:lpstr>Bridge!Print_Area</vt:lpstr>
      <vt:lpstr>Inputs!Print_Area</vt:lpstr>
      <vt:lpstr>Summary!Print_Area</vt:lpstr>
      <vt:lpstr>Variance!Print_Area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Brett Tierce</cp:lastModifiedBy>
  <cp:revision>1</cp:revision>
  <cp:lastPrinted>2026-10-17T06:37:45Z</cp:lastPrinted>
  <dcterms:created xsi:type="dcterms:W3CDTF">2026-10-16T05:48:24Z</dcterms:created>
  <dcterms:modified xsi:type="dcterms:W3CDTF">2026-10-17T06:42:57Z</dcterms:modified>
  <dc:language>en-US</dc:language>
</cp:coreProperties>
</file>