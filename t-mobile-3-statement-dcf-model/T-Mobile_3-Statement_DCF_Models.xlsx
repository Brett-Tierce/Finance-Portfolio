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brett_tierce/Downloads/"/>
    </mc:Choice>
  </mc:AlternateContent>
  <xr:revisionPtr revIDLastSave="0" documentId="8_{EDDB7868-A6AD-9F42-8481-9B04E0E53013}" xr6:coauthVersionLast="47" xr6:coauthVersionMax="47" xr10:uidLastSave="{00000000-0000-0000-0000-000000000000}"/>
  <bookViews>
    <workbookView xWindow="0" yWindow="0" windowWidth="28800" windowHeight="18000" xr2:uid="{2F166D62-4C7F-0042-8B62-6FAC377C5757}"/>
  </bookViews>
  <sheets>
    <sheet name="Dashboard" sheetId="5" r:id="rId1"/>
    <sheet name="T-Mobile 3 Statement Model" sheetId="3" r:id="rId2"/>
    <sheet name="T-Mobile DCF Model" sheetId="4" r:id="rId3"/>
  </sheets>
  <definedNames>
    <definedName name="_xlnm.Print_Area" localSheetId="0">Dashboard!$B$2:$M$60</definedName>
    <definedName name="_xlnm.Print_Area" localSheetId="1">'T-Mobile 3 Statement Model'!$B$1:$J$136</definedName>
    <definedName name="_xlnm.Print_Area" localSheetId="2">'T-Mobile DCF Model'!$B$2:$H$54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" i="5" l="1"/>
  <c r="C17" i="5"/>
  <c r="B16" i="5"/>
  <c r="C23" i="5"/>
  <c r="C25" i="5"/>
  <c r="C21" i="5"/>
  <c r="D8" i="5"/>
  <c r="J8" i="5"/>
  <c r="L8" i="5"/>
  <c r="L12" i="5"/>
  <c r="H12" i="5"/>
  <c r="F12" i="5"/>
  <c r="D12" i="5"/>
  <c r="B12" i="5"/>
  <c r="M54" i="5"/>
  <c r="L54" i="5"/>
  <c r="K54" i="5"/>
  <c r="J54" i="5"/>
  <c r="J13" i="5"/>
  <c r="J12" i="5"/>
  <c r="E42" i="5"/>
  <c r="F42" i="5"/>
  <c r="G42" i="5"/>
  <c r="H42" i="5"/>
  <c r="I42" i="5"/>
  <c r="J42" i="5"/>
  <c r="K42" i="5"/>
  <c r="D42" i="5"/>
  <c r="E40" i="5"/>
  <c r="F40" i="5"/>
  <c r="F41" i="5" s="1"/>
  <c r="G40" i="5"/>
  <c r="G41" i="5" s="1"/>
  <c r="H40" i="5"/>
  <c r="H41" i="5" s="1"/>
  <c r="I40" i="5"/>
  <c r="I41" i="5" s="1"/>
  <c r="J40" i="5"/>
  <c r="J41" i="5" s="1"/>
  <c r="K40" i="5"/>
  <c r="D40" i="5"/>
  <c r="G39" i="5"/>
  <c r="H39" i="5"/>
  <c r="I39" i="5"/>
  <c r="J39" i="5"/>
  <c r="K39" i="5"/>
  <c r="L39" i="5" s="1"/>
  <c r="F39" i="5"/>
  <c r="E37" i="5"/>
  <c r="F37" i="5"/>
  <c r="G37" i="5"/>
  <c r="H37" i="5"/>
  <c r="I37" i="5"/>
  <c r="J37" i="5"/>
  <c r="K37" i="5"/>
  <c r="D37" i="5"/>
  <c r="E38" i="5"/>
  <c r="F38" i="5"/>
  <c r="G38" i="5"/>
  <c r="L38" i="5" s="1"/>
  <c r="H38" i="5"/>
  <c r="I38" i="5"/>
  <c r="J38" i="5"/>
  <c r="K38" i="5"/>
  <c r="E35" i="5"/>
  <c r="F35" i="5"/>
  <c r="G35" i="5"/>
  <c r="H35" i="5"/>
  <c r="I35" i="5"/>
  <c r="J35" i="5"/>
  <c r="K35" i="5"/>
  <c r="D35" i="5"/>
  <c r="E33" i="5"/>
  <c r="F33" i="5"/>
  <c r="G33" i="5"/>
  <c r="G34" i="5" s="1"/>
  <c r="H33" i="5"/>
  <c r="H34" i="5" s="1"/>
  <c r="I33" i="5"/>
  <c r="I34" i="5" s="1"/>
  <c r="J33" i="5"/>
  <c r="J34" i="5" s="1"/>
  <c r="K33" i="5"/>
  <c r="D33" i="5"/>
  <c r="F32" i="5"/>
  <c r="G32" i="5"/>
  <c r="H32" i="5"/>
  <c r="I32" i="5"/>
  <c r="J32" i="5"/>
  <c r="K32" i="5"/>
  <c r="E32" i="5"/>
  <c r="E31" i="5"/>
  <c r="F31" i="5"/>
  <c r="G31" i="5"/>
  <c r="H31" i="5"/>
  <c r="I31" i="5"/>
  <c r="J31" i="5"/>
  <c r="K31" i="5"/>
  <c r="D31" i="5"/>
  <c r="D36" i="5" s="1"/>
  <c r="E30" i="5"/>
  <c r="F30" i="5"/>
  <c r="G30" i="5"/>
  <c r="H30" i="5"/>
  <c r="I30" i="5"/>
  <c r="J30" i="5"/>
  <c r="K30" i="5"/>
  <c r="D30" i="5"/>
  <c r="E41" i="5"/>
  <c r="D41" i="5"/>
  <c r="F34" i="5"/>
  <c r="E34" i="5"/>
  <c r="L32" i="5"/>
  <c r="L31" i="5"/>
  <c r="J36" i="5"/>
  <c r="I36" i="5"/>
  <c r="H36" i="5"/>
  <c r="G36" i="5"/>
  <c r="F36" i="5"/>
  <c r="E36" i="5"/>
  <c r="L47" i="5"/>
  <c r="M47" i="5"/>
  <c r="L48" i="5"/>
  <c r="M48" i="5"/>
  <c r="L49" i="5"/>
  <c r="M49" i="5"/>
  <c r="L50" i="5"/>
  <c r="M50" i="5"/>
  <c r="L51" i="5"/>
  <c r="M51" i="5"/>
  <c r="K51" i="5"/>
  <c r="K50" i="5"/>
  <c r="K49" i="5"/>
  <c r="K48" i="5"/>
  <c r="K47" i="5"/>
  <c r="J51" i="5"/>
  <c r="J50" i="5"/>
  <c r="J49" i="5"/>
  <c r="J48" i="5"/>
  <c r="J47" i="5"/>
  <c r="I51" i="5"/>
  <c r="I50" i="5"/>
  <c r="I49" i="5"/>
  <c r="I48" i="5"/>
  <c r="I47" i="5"/>
  <c r="H51" i="5"/>
  <c r="H50" i="5"/>
  <c r="H49" i="5"/>
  <c r="H48" i="5"/>
  <c r="H47" i="5"/>
  <c r="M46" i="5"/>
  <c r="L46" i="5"/>
  <c r="K46" i="5"/>
  <c r="J46" i="5"/>
  <c r="I46" i="5"/>
  <c r="F54" i="5"/>
  <c r="F53" i="5"/>
  <c r="F52" i="5"/>
  <c r="F51" i="5"/>
  <c r="F50" i="5"/>
  <c r="F49" i="5"/>
  <c r="F48" i="5"/>
  <c r="F47" i="5"/>
  <c r="F46" i="5"/>
  <c r="C27" i="5" a="1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3" i="5"/>
  <c r="H13" i="5"/>
  <c r="F13" i="5"/>
  <c r="D13" i="5"/>
  <c r="B13" i="5"/>
  <c r="L9" i="5"/>
  <c r="J9" i="5"/>
  <c r="H9" i="5"/>
  <c r="D9" i="5"/>
  <c r="B9" i="5"/>
  <c r="H8" i="5"/>
  <c r="B8" i="5"/>
  <c r="F8" i="5"/>
  <c r="F9" i="5"/>
  <c r="F31" i="4"/>
  <c r="C37" i="4" s="1"/>
  <c r="F33" i="4"/>
  <c r="C34" i="4"/>
  <c r="F38" i="4"/>
  <c r="C39" i="4"/>
  <c r="C33" i="4"/>
  <c r="C17" i="4"/>
  <c r="F45" i="4"/>
  <c r="F32" i="4"/>
  <c r="C16" i="4"/>
  <c r="C10" i="4"/>
  <c r="C4" i="4"/>
  <c r="F66" i="3"/>
  <c r="G38" i="3"/>
  <c r="H38" i="3" s="1"/>
  <c r="I38" i="3" s="1"/>
  <c r="J38" i="3" s="1"/>
  <c r="F90" i="3"/>
  <c r="F125" i="3"/>
  <c r="F59" i="3"/>
  <c r="F10" i="3"/>
  <c r="F89" i="3"/>
  <c r="D24" i="3"/>
  <c r="E24" i="3"/>
  <c r="C24" i="3"/>
  <c r="F75" i="3"/>
  <c r="F129" i="3" s="1"/>
  <c r="F93" i="3"/>
  <c r="E89" i="3"/>
  <c r="D89" i="3"/>
  <c r="D91" i="3" s="1"/>
  <c r="E91" i="3"/>
  <c r="F86" i="3"/>
  <c r="G86" i="3" s="1"/>
  <c r="H86" i="3" s="1"/>
  <c r="I86" i="3" s="1"/>
  <c r="J86" i="3" s="1"/>
  <c r="F85" i="3"/>
  <c r="F84" i="3"/>
  <c r="F104" i="3" s="1"/>
  <c r="F68" i="3"/>
  <c r="F67" i="3"/>
  <c r="F70" i="3"/>
  <c r="F83" i="3"/>
  <c r="E71" i="3"/>
  <c r="D71" i="3"/>
  <c r="C71" i="3"/>
  <c r="D77" i="3"/>
  <c r="E77" i="3"/>
  <c r="C77" i="3"/>
  <c r="C63" i="3"/>
  <c r="D63" i="3"/>
  <c r="E63" i="3"/>
  <c r="D54" i="3"/>
  <c r="E54" i="3"/>
  <c r="C54" i="3"/>
  <c r="G26" i="3"/>
  <c r="D34" i="3"/>
  <c r="E34" i="3"/>
  <c r="F34" i="3" s="1"/>
  <c r="C34" i="3"/>
  <c r="E32" i="3"/>
  <c r="D32" i="3"/>
  <c r="D31" i="3"/>
  <c r="E31" i="3"/>
  <c r="F31" i="3" s="1"/>
  <c r="D48" i="3"/>
  <c r="E48" i="3"/>
  <c r="C48" i="3"/>
  <c r="C98" i="3" s="1"/>
  <c r="D19" i="3"/>
  <c r="E19" i="3"/>
  <c r="C19" i="3"/>
  <c r="D18" i="3"/>
  <c r="E18" i="3"/>
  <c r="C18" i="3"/>
  <c r="D7" i="3"/>
  <c r="E7" i="3"/>
  <c r="C7" i="3"/>
  <c r="E17" i="3"/>
  <c r="C5" i="4" s="1"/>
  <c r="D17" i="3"/>
  <c r="K36" i="5" l="1"/>
  <c r="L36" i="5" s="1"/>
  <c r="L35" i="5"/>
  <c r="D34" i="5"/>
  <c r="D38" i="5"/>
  <c r="K41" i="5"/>
  <c r="L40" i="5"/>
  <c r="L37" i="5"/>
  <c r="K34" i="5"/>
  <c r="L34" i="5" s="1"/>
  <c r="L33" i="5"/>
  <c r="G85" i="3"/>
  <c r="F127" i="3"/>
  <c r="E98" i="3"/>
  <c r="D98" i="3"/>
  <c r="C18" i="4" s="1"/>
  <c r="G66" i="3"/>
  <c r="H66" i="3" s="1"/>
  <c r="I66" i="3" s="1"/>
  <c r="J66" i="3" s="1"/>
  <c r="F34" i="4"/>
  <c r="E11" i="3"/>
  <c r="C11" i="4"/>
  <c r="C11" i="3"/>
  <c r="D11" i="3"/>
  <c r="H26" i="3"/>
  <c r="G125" i="3"/>
  <c r="G59" i="3"/>
  <c r="G75" i="3"/>
  <c r="G68" i="3"/>
  <c r="F124" i="3"/>
  <c r="G67" i="3"/>
  <c r="F123" i="3"/>
  <c r="G70" i="3"/>
  <c r="F126" i="3"/>
  <c r="F121" i="3"/>
  <c r="F87" i="3"/>
  <c r="G84" i="3"/>
  <c r="C79" i="3"/>
  <c r="D79" i="3"/>
  <c r="E79" i="3"/>
  <c r="C56" i="3"/>
  <c r="E56" i="3"/>
  <c r="D56" i="3"/>
  <c r="G34" i="3"/>
  <c r="H34" i="3" s="1"/>
  <c r="I34" i="3" s="1"/>
  <c r="J34" i="3" s="1"/>
  <c r="G31" i="3"/>
  <c r="H31" i="3" s="1"/>
  <c r="I31" i="3" s="1"/>
  <c r="J31" i="3" s="1"/>
  <c r="F18" i="3"/>
  <c r="F17" i="3"/>
  <c r="F19" i="3"/>
  <c r="G127" i="3" l="1"/>
  <c r="H85" i="3"/>
  <c r="H84" i="3"/>
  <c r="G104" i="3"/>
  <c r="E20" i="3"/>
  <c r="E14" i="3"/>
  <c r="E35" i="3" s="1"/>
  <c r="F35" i="3" s="1"/>
  <c r="G35" i="3" s="1"/>
  <c r="H35" i="3" s="1"/>
  <c r="I35" i="3" s="1"/>
  <c r="J35" i="3" s="1"/>
  <c r="D20" i="3"/>
  <c r="D14" i="3"/>
  <c r="D35" i="3" s="1"/>
  <c r="C14" i="3"/>
  <c r="C35" i="3" s="1"/>
  <c r="C20" i="3"/>
  <c r="C7" i="4"/>
  <c r="F36" i="4"/>
  <c r="F35" i="4"/>
  <c r="D5" i="4"/>
  <c r="F46" i="3"/>
  <c r="H125" i="3"/>
  <c r="I26" i="3"/>
  <c r="H59" i="3"/>
  <c r="G124" i="3"/>
  <c r="H68" i="3"/>
  <c r="I68" i="3" s="1"/>
  <c r="F58" i="3"/>
  <c r="F110" i="3" s="1"/>
  <c r="F61" i="3"/>
  <c r="F60" i="3"/>
  <c r="F112" i="3" s="1"/>
  <c r="F69" i="3"/>
  <c r="G129" i="3"/>
  <c r="H75" i="3"/>
  <c r="G123" i="3"/>
  <c r="H67" i="3"/>
  <c r="G126" i="3"/>
  <c r="H70" i="3"/>
  <c r="H124" i="3"/>
  <c r="G121" i="3"/>
  <c r="F73" i="3"/>
  <c r="G83" i="3"/>
  <c r="G87" i="3" s="1"/>
  <c r="E80" i="3"/>
  <c r="C80" i="3"/>
  <c r="D80" i="3"/>
  <c r="G18" i="3"/>
  <c r="H18" i="3" s="1"/>
  <c r="I18" i="3" s="1"/>
  <c r="J18" i="3" s="1"/>
  <c r="G19" i="3"/>
  <c r="H19" i="3" s="1"/>
  <c r="I19" i="3" s="1"/>
  <c r="J19" i="3" s="1"/>
  <c r="F29" i="3"/>
  <c r="F28" i="3"/>
  <c r="F23" i="3"/>
  <c r="D10" i="4" s="1"/>
  <c r="F25" i="3"/>
  <c r="F47" i="3"/>
  <c r="F43" i="3"/>
  <c r="F44" i="3"/>
  <c r="G17" i="3"/>
  <c r="F4" i="3"/>
  <c r="D4" i="4" s="1"/>
  <c r="H127" i="3" l="1"/>
  <c r="I85" i="3"/>
  <c r="H104" i="3"/>
  <c r="I84" i="3"/>
  <c r="F20" i="3"/>
  <c r="C14" i="4"/>
  <c r="C8" i="4"/>
  <c r="F118" i="3"/>
  <c r="D17" i="4"/>
  <c r="G46" i="3"/>
  <c r="F113" i="3"/>
  <c r="F117" i="3"/>
  <c r="D16" i="4"/>
  <c r="H17" i="3"/>
  <c r="E5" i="4"/>
  <c r="I125" i="3"/>
  <c r="J26" i="3"/>
  <c r="J125" i="3" s="1"/>
  <c r="I59" i="3"/>
  <c r="G69" i="3"/>
  <c r="G61" i="3"/>
  <c r="G60" i="3"/>
  <c r="H129" i="3"/>
  <c r="I75" i="3"/>
  <c r="F24" i="3"/>
  <c r="H123" i="3"/>
  <c r="I67" i="3"/>
  <c r="H126" i="3"/>
  <c r="I70" i="3"/>
  <c r="I124" i="3"/>
  <c r="J68" i="3"/>
  <c r="J124" i="3" s="1"/>
  <c r="H121" i="3"/>
  <c r="G47" i="3"/>
  <c r="F108" i="3"/>
  <c r="F106" i="3"/>
  <c r="H83" i="3"/>
  <c r="H87" i="3" s="1"/>
  <c r="G73" i="3"/>
  <c r="F105" i="3"/>
  <c r="G58" i="3"/>
  <c r="G110" i="3" s="1"/>
  <c r="F5" i="3"/>
  <c r="F53" i="3"/>
  <c r="F109" i="3" s="1"/>
  <c r="G28" i="3"/>
  <c r="F52" i="3"/>
  <c r="G29" i="3"/>
  <c r="E17" i="4" s="1"/>
  <c r="G25" i="3"/>
  <c r="E16" i="4" s="1"/>
  <c r="G23" i="3"/>
  <c r="G44" i="3"/>
  <c r="G4" i="3"/>
  <c r="E4" i="4" s="1"/>
  <c r="F6" i="3"/>
  <c r="F21" i="3" s="1"/>
  <c r="G43" i="3"/>
  <c r="I127" i="3" l="1"/>
  <c r="J85" i="3"/>
  <c r="I104" i="3"/>
  <c r="J84" i="3"/>
  <c r="J104" i="3" s="1"/>
  <c r="F119" i="3"/>
  <c r="F39" i="4"/>
  <c r="G20" i="3"/>
  <c r="H20" i="3" s="1"/>
  <c r="H60" i="3"/>
  <c r="H28" i="3"/>
  <c r="H46" i="3"/>
  <c r="H108" i="3" s="1"/>
  <c r="G108" i="3"/>
  <c r="F5" i="4"/>
  <c r="I17" i="3"/>
  <c r="F103" i="3"/>
  <c r="F50" i="3"/>
  <c r="G24" i="3"/>
  <c r="G103" i="3" s="1"/>
  <c r="E10" i="4"/>
  <c r="H61" i="3"/>
  <c r="G113" i="3"/>
  <c r="J59" i="3"/>
  <c r="H69" i="3"/>
  <c r="I129" i="3"/>
  <c r="J75" i="3"/>
  <c r="J129" i="3" s="1"/>
  <c r="I123" i="3"/>
  <c r="J67" i="3"/>
  <c r="J123" i="3" s="1"/>
  <c r="I126" i="3"/>
  <c r="J70" i="3"/>
  <c r="J126" i="3" s="1"/>
  <c r="I121" i="3"/>
  <c r="H47" i="3"/>
  <c r="G112" i="3"/>
  <c r="H29" i="3"/>
  <c r="F17" i="4" s="1"/>
  <c r="G118" i="3"/>
  <c r="H25" i="3"/>
  <c r="F16" i="4" s="1"/>
  <c r="G117" i="3"/>
  <c r="H44" i="3"/>
  <c r="G106" i="3"/>
  <c r="H106" i="3"/>
  <c r="H73" i="3"/>
  <c r="I83" i="3"/>
  <c r="I87" i="3" s="1"/>
  <c r="H23" i="3"/>
  <c r="G105" i="3"/>
  <c r="F45" i="3"/>
  <c r="F62" i="3"/>
  <c r="H58" i="3"/>
  <c r="H110" i="3" s="1"/>
  <c r="G5" i="3"/>
  <c r="G53" i="3"/>
  <c r="G109" i="3" s="1"/>
  <c r="F7" i="3"/>
  <c r="G52" i="3"/>
  <c r="F51" i="3"/>
  <c r="G6" i="3"/>
  <c r="G21" i="3" s="1"/>
  <c r="H4" i="3"/>
  <c r="F4" i="4" s="1"/>
  <c r="H43" i="3"/>
  <c r="H105" i="3" s="1"/>
  <c r="J127" i="3" l="1"/>
  <c r="F40" i="4"/>
  <c r="C45" i="4" s="1"/>
  <c r="C15" i="4"/>
  <c r="C19" i="4" s="1"/>
  <c r="I46" i="3"/>
  <c r="I108" i="3" s="1"/>
  <c r="F54" i="3"/>
  <c r="G50" i="3"/>
  <c r="I28" i="3"/>
  <c r="I60" i="3"/>
  <c r="G5" i="4"/>
  <c r="J17" i="3"/>
  <c r="H24" i="3"/>
  <c r="F10" i="4"/>
  <c r="F11" i="3"/>
  <c r="F13" i="3" s="1"/>
  <c r="D11" i="4"/>
  <c r="D15" i="4" s="1"/>
  <c r="H113" i="3"/>
  <c r="I61" i="3"/>
  <c r="H52" i="3"/>
  <c r="I69" i="3"/>
  <c r="G119" i="3"/>
  <c r="F114" i="3"/>
  <c r="G62" i="3"/>
  <c r="G114" i="3" s="1"/>
  <c r="I20" i="3"/>
  <c r="J121" i="3"/>
  <c r="I47" i="3"/>
  <c r="H112" i="3"/>
  <c r="H118" i="3"/>
  <c r="I29" i="3"/>
  <c r="G17" i="4" s="1"/>
  <c r="H117" i="3"/>
  <c r="I25" i="3"/>
  <c r="G16" i="4" s="1"/>
  <c r="I44" i="3"/>
  <c r="I106" i="3" s="1"/>
  <c r="I73" i="3"/>
  <c r="J83" i="3"/>
  <c r="J87" i="3" s="1"/>
  <c r="J73" i="3" s="1"/>
  <c r="I23" i="3"/>
  <c r="G45" i="3"/>
  <c r="F107" i="3"/>
  <c r="I58" i="3"/>
  <c r="I110" i="3" s="1"/>
  <c r="F63" i="3"/>
  <c r="I4" i="3"/>
  <c r="H53" i="3"/>
  <c r="H109" i="3" s="1"/>
  <c r="F32" i="3"/>
  <c r="F111" i="3" s="1"/>
  <c r="H6" i="3"/>
  <c r="H21" i="3" s="1"/>
  <c r="G51" i="3"/>
  <c r="G32" i="3" s="1"/>
  <c r="G111" i="3" s="1"/>
  <c r="H5" i="3"/>
  <c r="G7" i="3"/>
  <c r="E11" i="4" s="1"/>
  <c r="E15" i="4" s="1"/>
  <c r="I43" i="3"/>
  <c r="D7" i="4" l="1"/>
  <c r="E7" i="4"/>
  <c r="J28" i="3"/>
  <c r="J60" i="3"/>
  <c r="J112" i="3" s="1"/>
  <c r="H5" i="4"/>
  <c r="J46" i="3"/>
  <c r="J108" i="3" s="1"/>
  <c r="H50" i="3"/>
  <c r="H103" i="3"/>
  <c r="F14" i="3"/>
  <c r="I52" i="3"/>
  <c r="I24" i="3"/>
  <c r="I103" i="3" s="1"/>
  <c r="G10" i="4"/>
  <c r="I53" i="3"/>
  <c r="I109" i="3" s="1"/>
  <c r="G4" i="4"/>
  <c r="I113" i="3"/>
  <c r="J61" i="3"/>
  <c r="J69" i="3"/>
  <c r="H62" i="3"/>
  <c r="H114" i="3" s="1"/>
  <c r="J20" i="3"/>
  <c r="H119" i="3"/>
  <c r="J47" i="3"/>
  <c r="I112" i="3"/>
  <c r="I118" i="3"/>
  <c r="J29" i="3"/>
  <c r="H17" i="4" s="1"/>
  <c r="I117" i="3"/>
  <c r="I119" i="3" s="1"/>
  <c r="J25" i="3"/>
  <c r="J44" i="3"/>
  <c r="J106" i="3" s="1"/>
  <c r="J23" i="3"/>
  <c r="H10" i="4" s="1"/>
  <c r="H45" i="3"/>
  <c r="G107" i="3"/>
  <c r="I105" i="3"/>
  <c r="I6" i="3"/>
  <c r="J4" i="3"/>
  <c r="J58" i="3"/>
  <c r="J110" i="3" s="1"/>
  <c r="G63" i="3"/>
  <c r="I5" i="3"/>
  <c r="G54" i="3"/>
  <c r="H7" i="3"/>
  <c r="F11" i="4" s="1"/>
  <c r="F15" i="4" s="1"/>
  <c r="H51" i="3"/>
  <c r="H32" i="3" s="1"/>
  <c r="H111" i="3" s="1"/>
  <c r="J43" i="3"/>
  <c r="J105" i="3" s="1"/>
  <c r="E8" i="4" l="1"/>
  <c r="E14" i="4"/>
  <c r="D8" i="4"/>
  <c r="D14" i="4"/>
  <c r="F7" i="4"/>
  <c r="I50" i="3"/>
  <c r="F94" i="3"/>
  <c r="F102" i="3"/>
  <c r="F115" i="3" s="1"/>
  <c r="J117" i="3"/>
  <c r="H16" i="4"/>
  <c r="J53" i="3"/>
  <c r="J109" i="3" s="1"/>
  <c r="H4" i="4"/>
  <c r="J113" i="3"/>
  <c r="J24" i="3"/>
  <c r="I21" i="3"/>
  <c r="I7" i="3"/>
  <c r="G11" i="4" s="1"/>
  <c r="G15" i="4" s="1"/>
  <c r="J118" i="3"/>
  <c r="J52" i="3"/>
  <c r="I51" i="3"/>
  <c r="H107" i="3"/>
  <c r="J6" i="3"/>
  <c r="J21" i="3" s="1"/>
  <c r="J5" i="3"/>
  <c r="H63" i="3"/>
  <c r="H54" i="3"/>
  <c r="F8" i="4" l="1"/>
  <c r="F14" i="4"/>
  <c r="G7" i="4"/>
  <c r="J119" i="3"/>
  <c r="J103" i="3"/>
  <c r="J50" i="3"/>
  <c r="I45" i="3"/>
  <c r="I62" i="3"/>
  <c r="I63" i="3" s="1"/>
  <c r="I54" i="3"/>
  <c r="I32" i="3"/>
  <c r="I111" i="3" s="1"/>
  <c r="J51" i="3"/>
  <c r="J7" i="3"/>
  <c r="H11" i="4" s="1"/>
  <c r="H15" i="4" s="1"/>
  <c r="G8" i="4" l="1"/>
  <c r="G14" i="4"/>
  <c r="H7" i="4"/>
  <c r="I107" i="3"/>
  <c r="J45" i="3"/>
  <c r="J107" i="3" s="1"/>
  <c r="I114" i="3"/>
  <c r="J62" i="3"/>
  <c r="J32" i="3"/>
  <c r="J111" i="3" s="1"/>
  <c r="J54" i="3"/>
  <c r="H8" i="4" l="1"/>
  <c r="H14" i="4"/>
  <c r="H23" i="4" s="1"/>
  <c r="J63" i="3"/>
  <c r="J114" i="3"/>
  <c r="C31" i="4" l="1"/>
  <c r="F128" i="3" l="1"/>
  <c r="F91" i="3"/>
  <c r="G90" i="3"/>
  <c r="G89" i="3" l="1"/>
  <c r="G91" i="3" s="1"/>
  <c r="F74" i="3"/>
  <c r="H90" i="3"/>
  <c r="G128" i="3"/>
  <c r="G74" i="3" l="1"/>
  <c r="H89" i="3"/>
  <c r="H91" i="3" s="1"/>
  <c r="H128" i="3"/>
  <c r="I90" i="3"/>
  <c r="I128" i="3" l="1"/>
  <c r="J90" i="3"/>
  <c r="J128" i="3" s="1"/>
  <c r="I89" i="3"/>
  <c r="I91" i="3" s="1"/>
  <c r="H74" i="3"/>
  <c r="J89" i="3" l="1"/>
  <c r="J91" i="3" s="1"/>
  <c r="J74" i="3" s="1"/>
  <c r="I74" i="3"/>
  <c r="F95" i="3"/>
  <c r="F130" i="3" l="1"/>
  <c r="F135" i="3" s="1"/>
  <c r="F136" i="3" s="1"/>
  <c r="F96" i="3"/>
  <c r="G93" i="3" l="1"/>
  <c r="F76" i="3"/>
  <c r="F77" i="3" s="1"/>
  <c r="F122" i="3"/>
  <c r="F131" i="3" s="1"/>
  <c r="F133" i="3" s="1"/>
  <c r="F42" i="3" s="1"/>
  <c r="F48" i="3" s="1"/>
  <c r="F98" i="3" s="1"/>
  <c r="D18" i="4" s="1"/>
  <c r="D19" i="4" s="1"/>
  <c r="D22" i="4" s="1"/>
  <c r="D24" i="4" s="1"/>
  <c r="F65" i="3"/>
  <c r="D26" i="4" l="1"/>
  <c r="F71" i="3"/>
  <c r="F79" i="3" s="1"/>
  <c r="G10" i="3"/>
  <c r="G11" i="3" s="1"/>
  <c r="F56" i="3"/>
  <c r="F80" i="3" l="1"/>
  <c r="G13" i="3"/>
  <c r="G14" i="3" s="1"/>
  <c r="G94" i="3" l="1"/>
  <c r="G95" i="3"/>
  <c r="G102" i="3"/>
  <c r="G115" i="3" s="1"/>
  <c r="G130" i="3" l="1"/>
  <c r="G135" i="3" s="1"/>
  <c r="G136" i="3" s="1"/>
  <c r="G96" i="3"/>
  <c r="G76" i="3" l="1"/>
  <c r="G77" i="3" s="1"/>
  <c r="H93" i="3"/>
  <c r="G122" i="3"/>
  <c r="G131" i="3" s="1"/>
  <c r="G133" i="3" s="1"/>
  <c r="G42" i="3" s="1"/>
  <c r="G65" i="3"/>
  <c r="G71" i="3" s="1"/>
  <c r="G79" i="3" l="1"/>
  <c r="G48" i="3"/>
  <c r="H10" i="3"/>
  <c r="H11" i="3" s="1"/>
  <c r="H13" i="3" s="1"/>
  <c r="H14" i="3" s="1"/>
  <c r="G56" i="3" l="1"/>
  <c r="G80" i="3" s="1"/>
  <c r="G98" i="3"/>
  <c r="E18" i="4" s="1"/>
  <c r="E19" i="4" s="1"/>
  <c r="E22" i="4" s="1"/>
  <c r="E24" i="4" s="1"/>
  <c r="H95" i="3"/>
  <c r="H94" i="3"/>
  <c r="H102" i="3"/>
  <c r="H115" i="3" s="1"/>
  <c r="E26" i="4" l="1"/>
  <c r="H130" i="3"/>
  <c r="H135" i="3" s="1"/>
  <c r="H136" i="3" s="1"/>
  <c r="H96" i="3"/>
  <c r="H122" i="3" l="1"/>
  <c r="H131" i="3" s="1"/>
  <c r="H133" i="3" s="1"/>
  <c r="H42" i="3" s="1"/>
  <c r="H65" i="3"/>
  <c r="H71" i="3" s="1"/>
  <c r="H76" i="3"/>
  <c r="H77" i="3" s="1"/>
  <c r="I93" i="3"/>
  <c r="H79" i="3" l="1"/>
  <c r="H48" i="3"/>
  <c r="I10" i="3"/>
  <c r="I11" i="3" s="1"/>
  <c r="I13" i="3" s="1"/>
  <c r="I14" i="3" s="1"/>
  <c r="I94" i="3" s="1"/>
  <c r="H98" i="3" l="1"/>
  <c r="F18" i="4" s="1"/>
  <c r="F19" i="4" s="1"/>
  <c r="F22" i="4" s="1"/>
  <c r="F24" i="4" s="1"/>
  <c r="H56" i="3"/>
  <c r="H80" i="3" s="1"/>
  <c r="I102" i="3"/>
  <c r="I115" i="3" s="1"/>
  <c r="I95" i="3"/>
  <c r="F26" i="4" l="1"/>
  <c r="I130" i="3"/>
  <c r="I135" i="3" s="1"/>
  <c r="I136" i="3" s="1"/>
  <c r="I96" i="3"/>
  <c r="I65" i="3" l="1"/>
  <c r="I122" i="3"/>
  <c r="I131" i="3" s="1"/>
  <c r="I133" i="3" s="1"/>
  <c r="I42" i="3" s="1"/>
  <c r="I48" i="3" s="1"/>
  <c r="J93" i="3"/>
  <c r="I76" i="3"/>
  <c r="I77" i="3" s="1"/>
  <c r="J10" i="3" l="1"/>
  <c r="J11" i="3" s="1"/>
  <c r="I71" i="3"/>
  <c r="I79" i="3" s="1"/>
  <c r="I98" i="3"/>
  <c r="G18" i="4" s="1"/>
  <c r="G19" i="4" s="1"/>
  <c r="G22" i="4" s="1"/>
  <c r="G24" i="4" s="1"/>
  <c r="I56" i="3"/>
  <c r="G26" i="4" l="1"/>
  <c r="I80" i="3"/>
  <c r="J13" i="3"/>
  <c r="J14" i="3" s="1"/>
  <c r="J95" i="3" l="1"/>
  <c r="J130" i="3" s="1"/>
  <c r="J94" i="3"/>
  <c r="J102" i="3"/>
  <c r="J115" i="3" s="1"/>
  <c r="J96" i="3" l="1"/>
  <c r="J76" i="3" s="1"/>
  <c r="J77" i="3" s="1"/>
  <c r="J135" i="3"/>
  <c r="J136" i="3" s="1"/>
  <c r="J122" i="3" l="1"/>
  <c r="J131" i="3" s="1"/>
  <c r="J133" i="3" s="1"/>
  <c r="J42" i="3" s="1"/>
  <c r="J48" i="3" s="1"/>
  <c r="J65" i="3"/>
  <c r="J71" i="3" s="1"/>
  <c r="J79" i="3" s="1"/>
  <c r="J56" i="3" l="1"/>
  <c r="J80" i="3" s="1"/>
  <c r="J98" i="3"/>
  <c r="H18" i="4" s="1"/>
  <c r="H19" i="4" s="1"/>
  <c r="H22" i="4" s="1"/>
  <c r="H24" i="4" s="1"/>
  <c r="C27" i="4" l="1"/>
  <c r="H26" i="4"/>
  <c r="C30" i="4" l="1"/>
  <c r="C32" i="4" s="1"/>
  <c r="C36" i="4" s="1"/>
  <c r="C38" i="4" s="1"/>
  <c r="C26" i="4"/>
  <c r="C40" i="4" l="1"/>
  <c r="B4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<sst xmlns="http://schemas.openxmlformats.org/spreadsheetml/2006/main" count="262" uniqueCount="225">
  <si>
    <t>Income Statement</t>
  </si>
  <si>
    <t>Revenue</t>
  </si>
  <si>
    <t>% Growth</t>
  </si>
  <si>
    <t>EBITDA</t>
  </si>
  <si>
    <t>% Margin</t>
  </si>
  <si>
    <t>Free Cash Flow</t>
  </si>
  <si>
    <t>Unlevered Free Cash Flow</t>
  </si>
  <si>
    <t>D&amp;A</t>
  </si>
  <si>
    <t>EBIT</t>
  </si>
  <si>
    <t>Discounted Cash Flow</t>
  </si>
  <si>
    <t>Terminal Multiple</t>
  </si>
  <si>
    <t>Terminal Value</t>
  </si>
  <si>
    <t>WACC</t>
  </si>
  <si>
    <t>Present Value UFCF</t>
  </si>
  <si>
    <t>Net Present Value</t>
  </si>
  <si>
    <t>Projections</t>
  </si>
  <si>
    <t>Actuals</t>
  </si>
  <si>
    <t>$ in millions</t>
  </si>
  <si>
    <t>Operating Expenses</t>
  </si>
  <si>
    <t>Net Income</t>
  </si>
  <si>
    <t>Margins / Growth Rates</t>
  </si>
  <si>
    <t>Gross Profit Margin</t>
  </si>
  <si>
    <t>Tax Rate</t>
  </si>
  <si>
    <t>Revenue Growth Rate</t>
  </si>
  <si>
    <t>Balance Sheet</t>
  </si>
  <si>
    <t>Accounts Receivable</t>
  </si>
  <si>
    <t>Inventory</t>
  </si>
  <si>
    <t>Intangibles</t>
  </si>
  <si>
    <t>Total Assets</t>
  </si>
  <si>
    <t>Memo: Capital Expenditures</t>
  </si>
  <si>
    <t>Purchases of Intangibles</t>
  </si>
  <si>
    <t>Memo: Purchases of Intangibles</t>
  </si>
  <si>
    <t>Other Current Liabilities</t>
  </si>
  <si>
    <t>Revolver</t>
  </si>
  <si>
    <t>Long-Term Debt</t>
  </si>
  <si>
    <t>Other Liabilities</t>
  </si>
  <si>
    <t>Treasury Stock</t>
  </si>
  <si>
    <t>Other Comprehensive Income</t>
  </si>
  <si>
    <t>Retained Earnings</t>
  </si>
  <si>
    <t>Total Equity</t>
  </si>
  <si>
    <t>Balance?</t>
  </si>
  <si>
    <t>Common Stock &amp; AIPC BOP</t>
  </si>
  <si>
    <t>Common Stock &amp; AIPC EOP</t>
  </si>
  <si>
    <t>Treasury Stock BOP</t>
  </si>
  <si>
    <t>New Stock Buy Backs</t>
  </si>
  <si>
    <t>Treasury Stock EOP</t>
  </si>
  <si>
    <t>Retained Earnings BOP</t>
  </si>
  <si>
    <t>Common Dividends</t>
  </si>
  <si>
    <t>Retained Earnings EOP</t>
  </si>
  <si>
    <t>Schedules</t>
  </si>
  <si>
    <t>Cash Flow Statement</t>
  </si>
  <si>
    <t>Depreciation &amp; Amortization</t>
  </si>
  <si>
    <t>Cash Flow From Operations</t>
  </si>
  <si>
    <t>Capital Expenditures</t>
  </si>
  <si>
    <t>Issuances of Common Stock</t>
  </si>
  <si>
    <t>Repurchases (Treasury Stock)</t>
  </si>
  <si>
    <t>Dividends</t>
  </si>
  <si>
    <t>Cash From Financing Activities</t>
  </si>
  <si>
    <t>Total Change in Cash</t>
  </si>
  <si>
    <t>Total Cash Flow Before Revolver Borrowing</t>
  </si>
  <si>
    <t>Total Revolver Borrowing Needed</t>
  </si>
  <si>
    <t>Memo: % Interest Earned on Cash</t>
  </si>
  <si>
    <t>Memo: % Interest Rate on Debt</t>
  </si>
  <si>
    <t xml:space="preserve">Operating Income (EBIT) </t>
  </si>
  <si>
    <t>Income Before Taxes (EBT)</t>
  </si>
  <si>
    <t>Income Tax Expense</t>
  </si>
  <si>
    <t>Cost of Sales (COGS)</t>
  </si>
  <si>
    <t>Operating Expenses as % of Revenue</t>
  </si>
  <si>
    <t>Net Interest Expense</t>
  </si>
  <si>
    <t>Net Other (expense) Income</t>
  </si>
  <si>
    <t>COGS Growth Rate</t>
  </si>
  <si>
    <t>Equipment Installment Plan Receivables</t>
  </si>
  <si>
    <t>Prepaid Expenses</t>
  </si>
  <si>
    <t>Other Current Assets</t>
  </si>
  <si>
    <t>Total Current Assets</t>
  </si>
  <si>
    <t>Other Assets</t>
  </si>
  <si>
    <t>Operating lease assets</t>
  </si>
  <si>
    <t>Operating Lease Assets as % of Operating Expenses</t>
  </si>
  <si>
    <t>Memo: Amortization Intangibles</t>
  </si>
  <si>
    <t>Memo: Finance Lease Right-of-Use Obtained</t>
  </si>
  <si>
    <t>Total Non-Current Assets</t>
  </si>
  <si>
    <t>Accounts Payable and Accrued Liabilities</t>
  </si>
  <si>
    <t>Short-Term Debt</t>
  </si>
  <si>
    <t>Deferred Revenue</t>
  </si>
  <si>
    <t>Short-Term Operating Lease Liabilities</t>
  </si>
  <si>
    <t>Total Current Liabilities</t>
  </si>
  <si>
    <t>Tower Obligation</t>
  </si>
  <si>
    <t>Deferred Tax Liabilities</t>
  </si>
  <si>
    <t>Operating Lease Liabilities</t>
  </si>
  <si>
    <t>Total Long-Term Liabilities</t>
  </si>
  <si>
    <t>Common Stock &amp; Additional Paid in Capital</t>
  </si>
  <si>
    <t>Other Comprehensive Loss</t>
  </si>
  <si>
    <t>Other Long-Term Liabilities</t>
  </si>
  <si>
    <t>Stock-Based Compensation</t>
  </si>
  <si>
    <t>ESPP</t>
  </si>
  <si>
    <t>Memo: Total D&amp;A</t>
  </si>
  <si>
    <t>Memo: Depreciation OPEX &amp; COGS</t>
  </si>
  <si>
    <t>Change in Operating Lease Assets</t>
  </si>
  <si>
    <t>Memo: Dividend Payout Ratio (% of Net Income)</t>
  </si>
  <si>
    <t>Other Current Assets &amp; Long-Term Assets</t>
  </si>
  <si>
    <t>Operating Lease Assets</t>
  </si>
  <si>
    <t>Total Debt</t>
  </si>
  <si>
    <t>Repayments of Financing Lease Liabilities</t>
  </si>
  <si>
    <t>Memo: Net New Long-Term Debt Issued</t>
  </si>
  <si>
    <t>Total Unlevered Free Cash Flow</t>
  </si>
  <si>
    <t>Market Capitalization</t>
  </si>
  <si>
    <t>Total Capital</t>
  </si>
  <si>
    <t>Shares Outstanding</t>
  </si>
  <si>
    <t>Weight of Equity</t>
  </si>
  <si>
    <t>Weight of Debt</t>
  </si>
  <si>
    <t>Risk Free Rate</t>
  </si>
  <si>
    <t>Share Price (10/13/2026)</t>
  </si>
  <si>
    <t>Pre-Tax Cost of Debt</t>
  </si>
  <si>
    <t>Marginal Tax Rate</t>
  </si>
  <si>
    <t>After-Tax Cost of Debt</t>
  </si>
  <si>
    <t>Equity Beta</t>
  </si>
  <si>
    <t>Equity Risk Premium</t>
  </si>
  <si>
    <t>Cost of Equity</t>
  </si>
  <si>
    <t>WACC Schedule</t>
  </si>
  <si>
    <r>
      <t>Income Statement</t>
    </r>
    <r>
      <rPr>
        <i/>
        <sz val="12"/>
        <color theme="1"/>
        <rFont val="Arial"/>
        <family val="2"/>
        <scheme val="minor"/>
      </rPr>
      <t xml:space="preserve"> </t>
    </r>
    <r>
      <rPr>
        <sz val="12"/>
        <color theme="1"/>
        <rFont val="Arial"/>
        <family val="2"/>
        <scheme val="minor"/>
      </rPr>
      <t>(</t>
    </r>
    <r>
      <rPr>
        <i/>
        <sz val="12"/>
        <color theme="1"/>
        <rFont val="Arial"/>
        <family val="2"/>
        <scheme val="minor"/>
      </rPr>
      <t>$ in millions</t>
    </r>
    <r>
      <rPr>
        <sz val="12"/>
        <color theme="1"/>
        <rFont val="Arial"/>
        <family val="2"/>
        <scheme val="minor"/>
      </rPr>
      <t>)</t>
    </r>
  </si>
  <si>
    <t>Year</t>
  </si>
  <si>
    <t>Unlevered Taxes</t>
  </si>
  <si>
    <t>PP&amp;E CapEx</t>
  </si>
  <si>
    <t>Change In Operating Working Capital</t>
  </si>
  <si>
    <t>Operating Working Capital</t>
  </si>
  <si>
    <t>Intangibles CapEx</t>
  </si>
  <si>
    <t>Enterprise Value to Equity Value</t>
  </si>
  <si>
    <t>PV of Explicit Forecast UFCF</t>
  </si>
  <si>
    <t>PV of Terminal Value</t>
  </si>
  <si>
    <t>Enterprise Value</t>
  </si>
  <si>
    <t>Total Debt &amp; Obligations</t>
  </si>
  <si>
    <t>Cash &amp; Cash Equivalents</t>
  </si>
  <si>
    <t>Implied Equity Value</t>
  </si>
  <si>
    <t>Diluted Shares Outstanding</t>
  </si>
  <si>
    <t>Implied Share Price</t>
  </si>
  <si>
    <t>Current Share Price</t>
  </si>
  <si>
    <t>Implied Premium (Discount)</t>
  </si>
  <si>
    <t>Sensitivity Table</t>
  </si>
  <si>
    <t>Memo: Other Non-Current Assets as % of Revenue</t>
  </si>
  <si>
    <t>Property Plant &amp; Equipment</t>
  </si>
  <si>
    <t>Total Liabilities &amp; Equity</t>
  </si>
  <si>
    <t>Cash for Investing Activities</t>
  </si>
  <si>
    <t>Tax Withholdings on Share Settlements</t>
  </si>
  <si>
    <t>DCF Model</t>
  </si>
  <si>
    <t>Blue Text</t>
  </si>
  <si>
    <t>Hardcoded historical inputs from 10-K filings</t>
  </si>
  <si>
    <t>Black Text</t>
  </si>
  <si>
    <t>Active formulas, calculations, and internal sums</t>
  </si>
  <si>
    <t>Green Text</t>
  </si>
  <si>
    <t>Yellow Fill</t>
  </si>
  <si>
    <t>T-Mobile 3-Statement Model &amp; DCF Valuation</t>
  </si>
  <si>
    <t>5-Year Projection (FY2026E–FY2030E)   |   An independent valuation built from public filings   |   Prepared by Brett Tierce</t>
  </si>
  <si>
    <t>Valuation date: 10/13/2026   |   $ in millions unless noted   |   All figures are live links to the model tabs</t>
  </si>
  <si>
    <t>Jump to:</t>
  </si>
  <si>
    <t>3-Statement Model</t>
  </si>
  <si>
    <t>IMPLIED SHARE PRICE</t>
  </si>
  <si>
    <t>CURRENT SHARE PRICE</t>
  </si>
  <si>
    <t>IMPLIED UPSIDE / (DOWNSIDE)</t>
  </si>
  <si>
    <t>ENTERPRISE VALUE</t>
  </si>
  <si>
    <t>IMPLIED EQUITY VALUE</t>
  </si>
  <si>
    <t>FY25A REVENUE</t>
  </si>
  <si>
    <t>REVENUE CAGR (FY25A–FY30E)</t>
  </si>
  <si>
    <t>FY25A EBITDA MARGIN</t>
  </si>
  <si>
    <t>FY30E NET INCOME</t>
  </si>
  <si>
    <t>NET DEBT / EBITDA (FY25A)</t>
  </si>
  <si>
    <t>FY30E UNLEVERED FCF</t>
  </si>
  <si>
    <t>EXECUTIVE SUMMARY &amp; INVESTMENT THESIS</t>
  </si>
  <si>
    <t>KEY MODEL ASSUMPTIONS</t>
  </si>
  <si>
    <t>Revenue growth (FY26E–FY30E)</t>
  </si>
  <si>
    <t>Valuation</t>
  </si>
  <si>
    <t>Gross margin</t>
  </si>
  <si>
    <t>EBITDA margin</t>
  </si>
  <si>
    <t>Margin of safety</t>
  </si>
  <si>
    <t>Effective tax rate</t>
  </si>
  <si>
    <t>Net new debt issued ($mm / yr)</t>
  </si>
  <si>
    <t>Growth &amp; margins</t>
  </si>
  <si>
    <t>Share repurchases ($mm / yr)</t>
  </si>
  <si>
    <t>Risk-free rate</t>
  </si>
  <si>
    <t>Cash returns</t>
  </si>
  <si>
    <t>Equity beta</t>
  </si>
  <si>
    <t>Equity risk premium</t>
  </si>
  <si>
    <t>Key risks</t>
  </si>
  <si>
    <t>Cost of equity</t>
  </si>
  <si>
    <t>After-tax cost of debt</t>
  </si>
  <si>
    <t>Model integrity</t>
  </si>
  <si>
    <t>Terminal EV / EBITDA multiple</t>
  </si>
  <si>
    <t>VALUATION</t>
  </si>
  <si>
    <t>DCF Valuation Bridge ($mm, except per share)</t>
  </si>
  <si>
    <t>PV of explicit-period UFCF</t>
  </si>
  <si>
    <t>PV of terminal value</t>
  </si>
  <si>
    <t>Enterprise value</t>
  </si>
  <si>
    <t>Less: net debt (debt – cash)</t>
  </si>
  <si>
    <t>Implied equity value</t>
  </si>
  <si>
    <t>Diluted shares outstanding (mm)</t>
  </si>
  <si>
    <t>Implied share price</t>
  </si>
  <si>
    <t>Current share price</t>
  </si>
  <si>
    <t>Premium / (discount) to current</t>
  </si>
  <si>
    <t>Sensitivity: Implied Share Price ($)</t>
  </si>
  <si>
    <t>WACC ↓  /  Multiple →</t>
  </si>
  <si>
    <t>Financial Summary ($mm)</t>
  </si>
  <si>
    <t>CAGR / Avg.*</t>
  </si>
  <si>
    <t xml:space="preserve">   % growth</t>
  </si>
  <si>
    <t>–</t>
  </si>
  <si>
    <t xml:space="preserve">   % margin</t>
  </si>
  <si>
    <t>EBIT (operating income)</t>
  </si>
  <si>
    <t>Net income</t>
  </si>
  <si>
    <t>Unlevered free cash flow</t>
  </si>
  <si>
    <t>Net debt</t>
  </si>
  <si>
    <t>Net debt / EBITDA</t>
  </si>
  <si>
    <t>EBIT / net interest expense</t>
  </si>
  <si>
    <t>Price range ($ / share)</t>
  </si>
  <si>
    <t>Current</t>
  </si>
  <si>
    <t>Sens. low</t>
  </si>
  <si>
    <t>Base case</t>
  </si>
  <si>
    <t>Sens. high</t>
  </si>
  <si>
    <t>Shading: green ≥ base-case price  |  yellow ≥ current price  |  red &lt; current price</t>
  </si>
  <si>
    <t>MODEL GUIDE &amp; SOURCES</t>
  </si>
  <si>
    <t>COLOR LEGEND (MODEL TABS)</t>
  </si>
  <si>
    <t>Dashboard</t>
  </si>
  <si>
    <t>Summary of KPIs, thesis, charts and tables (this tab)</t>
  </si>
  <si>
    <t>Income statement, balance sheet, cash flow and schedules</t>
  </si>
  <si>
    <t>Free cash flow, WACC, valuation and sensitivity table</t>
  </si>
  <si>
    <t>Cross-sheet references</t>
  </si>
  <si>
    <t>Source filings: TMUS 12/31/2025 Form 10-K; TMUS 12/31/2023 Form 10-K</t>
  </si>
  <si>
    <t>Key sensitivity 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</si>
</sst>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0.0%"/>
    <numFmt numFmtId="165" formatCode="0.0\x"/>
    <numFmt numFmtId="166" formatCode=";;;"/>
    <numFmt numFmtId="167" formatCode="&quot;$&quot;#,##0.00"/>
    <numFmt numFmtId="168" formatCode="\$#,##0.00"/>
    <numFmt numFmtId="169" formatCode="\+0.0%;\-0.0%;0.0%"/>
    <numFmt numFmtId="170" formatCode="\$#,##0.0,&quot;bn&quot;"/>
    <numFmt numFmtId="171" formatCode="0.0&quot;x&quot;"/>
    <numFmt numFmtId="172" formatCode="#,##0.0"/>
  </numFmts>
  <fonts count="34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70C0"/>
      <name val="Arial"/>
      <family val="2"/>
      <scheme val="minor"/>
    </font>
    <font>
      <i/>
      <sz val="12"/>
      <color theme="1"/>
      <name val="Arial"/>
      <family val="2"/>
      <scheme val="minor"/>
    </font>
    <font>
      <sz val="12"/>
      <color rgb="FF00B050"/>
      <name val="Arial"/>
      <family val="2"/>
      <scheme val="minor"/>
    </font>
    <font>
      <b/>
      <sz val="28"/>
      <color rgb="FFFFFFFF"/>
      <name val="Arial"/>
      <family val="2"/>
    </font>
    <font>
      <i/>
      <sz val="11"/>
      <color rgb="FFFFFFFF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595959"/>
      <name val="Arial"/>
      <family val="2"/>
    </font>
    <font>
      <b/>
      <sz val="22"/>
      <color rgb="FFE20074"/>
      <name val="Arial"/>
      <family val="2"/>
    </font>
    <font>
      <b/>
      <sz val="22"/>
      <color rgb="FF262626"/>
      <name val="Arial"/>
      <family val="2"/>
    </font>
    <font>
      <b/>
      <sz val="22"/>
      <color rgb="FF2E7D32"/>
      <name val="Arial"/>
      <family val="2"/>
    </font>
    <font>
      <sz val="8"/>
      <color rgb="FF595959"/>
      <name val="Arial"/>
      <family val="2"/>
    </font>
    <font>
      <b/>
      <sz val="12"/>
      <color rgb="FFE20074"/>
      <name val="Arial"/>
      <family val="2"/>
    </font>
    <font>
      <b/>
      <sz val="12"/>
      <color rgb="FF262626"/>
      <name val="Arial"/>
      <family val="2"/>
    </font>
    <font>
      <sz val="10"/>
      <color rgb="FF262626"/>
      <name val="Arial"/>
      <family val="2"/>
    </font>
    <font>
      <b/>
      <sz val="9"/>
      <color rgb="FFE20074"/>
      <name val="Arial"/>
      <family val="2"/>
    </font>
    <font>
      <b/>
      <sz val="10"/>
      <color rgb="FF262626"/>
      <name val="Arial"/>
      <family val="2"/>
    </font>
    <font>
      <b/>
      <sz val="9"/>
      <color rgb="FFE20074"/>
      <name val="Arial (Body)"/>
    </font>
    <font>
      <sz val="12"/>
      <color theme="1"/>
      <name val="Arial (Body)"/>
    </font>
    <font>
      <b/>
      <sz val="10"/>
      <color rgb="FFFFFFFF"/>
      <name val="Arial"/>
      <family val="2"/>
    </font>
    <font>
      <b/>
      <sz val="10"/>
      <color rgb="FFE20074"/>
      <name val="Arial"/>
      <family val="2"/>
    </font>
    <font>
      <i/>
      <sz val="10"/>
      <color rgb="FF595959"/>
      <name val="Arial"/>
      <family val="2"/>
    </font>
    <font>
      <sz val="10"/>
      <color rgb="FF595959"/>
      <name val="Arial"/>
      <family val="2"/>
    </font>
    <font>
      <b/>
      <sz val="9"/>
      <color rgb="FF595959"/>
      <name val="Arial"/>
      <family val="2"/>
    </font>
    <font>
      <i/>
      <sz val="8"/>
      <color rgb="FF595959"/>
      <name val="Arial"/>
      <family val="2"/>
    </font>
    <font>
      <sz val="9"/>
      <color rgb="FF595959"/>
      <name val="Arial"/>
      <family val="2"/>
    </font>
    <font>
      <b/>
      <sz val="9"/>
      <color rgb="FF0070C0"/>
      <name val="Arial"/>
      <family val="2"/>
    </font>
    <font>
      <b/>
      <u/>
      <sz val="10"/>
      <color rgb="FF0070C0"/>
      <name val="Arial"/>
      <family val="2"/>
    </font>
    <font>
      <b/>
      <sz val="9"/>
      <color rgb="FF000000"/>
      <name val="Arial"/>
      <family val="2"/>
    </font>
    <font>
      <b/>
      <sz val="9"/>
      <color rgb="FF00B050"/>
      <name val="Arial"/>
      <family val="2"/>
    </font>
    <font>
      <b/>
      <sz val="9"/>
      <color rgb="FF26262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E20074"/>
      </patternFill>
    </fill>
    <fill>
      <patternFill patternType="solid">
        <fgColor rgb="FF26262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E20074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 style="thick">
        <color rgb="FF262626"/>
      </left>
      <right/>
      <top style="thin">
        <color rgb="FF262626"/>
      </top>
      <bottom style="thin">
        <color rgb="FF262626"/>
      </bottom>
      <diagonal/>
    </border>
    <border>
      <left/>
      <right style="thick">
        <color rgb="FF262626"/>
      </right>
      <top style="thin">
        <color rgb="FF262626"/>
      </top>
      <bottom style="thin">
        <color rgb="FF262626"/>
      </bottom>
      <diagonal/>
    </border>
    <border>
      <left style="thick">
        <color rgb="FFFFFFFF"/>
      </left>
      <right/>
      <top style="medium">
        <color rgb="FFE20074"/>
      </top>
      <bottom/>
      <diagonal/>
    </border>
    <border>
      <left/>
      <right style="thick">
        <color rgb="FFFFFFFF"/>
      </right>
      <top style="medium">
        <color rgb="FFE20074"/>
      </top>
      <bottom/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/>
      <right/>
      <top/>
      <bottom style="medium">
        <color rgb="FFE20074"/>
      </bottom>
      <diagonal/>
    </border>
    <border>
      <left/>
      <right/>
      <top/>
      <bottom style="hair">
        <color rgb="FFA6A6A6"/>
      </bottom>
      <diagonal/>
    </border>
    <border>
      <left style="thin">
        <color rgb="FF595959"/>
      </left>
      <right/>
      <top style="thin">
        <color rgb="FF595959"/>
      </top>
      <bottom/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3">
    <xf numFmtId="0" fontId="0" fillId="0" borderId="0" xfId="0"/>
    <xf numFmtId="9" fontId="0" fillId="0" borderId="0" xfId="0" applyNumberFormat="1"/>
    <xf numFmtId="164" fontId="0" fillId="0" borderId="0" xfId="0" applyNumberFormat="1"/>
    <xf numFmtId="37" fontId="0" fillId="0" borderId="0" xfId="0" applyNumberFormat="1"/>
    <xf numFmtId="37" fontId="0" fillId="0" borderId="0" xfId="0" applyNumberFormat="1" applyAlignment="1">
      <alignment horizontal="right"/>
    </xf>
    <xf numFmtId="0" fontId="2" fillId="0" borderId="0" xfId="0" applyFont="1"/>
    <xf numFmtId="0" fontId="4" fillId="0" borderId="0" xfId="0" applyFont="1"/>
    <xf numFmtId="0" fontId="2" fillId="2" borderId="0" xfId="0" applyFont="1" applyFill="1"/>
    <xf numFmtId="37" fontId="2" fillId="0" borderId="0" xfId="0" applyNumberFormat="1" applyFont="1"/>
    <xf numFmtId="37" fontId="3" fillId="0" borderId="0" xfId="0" applyNumberFormat="1" applyFont="1"/>
    <xf numFmtId="0" fontId="0" fillId="0" borderId="1" xfId="0" applyBorder="1"/>
    <xf numFmtId="37" fontId="3" fillId="0" borderId="1" xfId="0" applyNumberFormat="1" applyFont="1" applyBorder="1"/>
    <xf numFmtId="37" fontId="0" fillId="0" borderId="1" xfId="0" applyNumberFormat="1" applyBorder="1"/>
    <xf numFmtId="0" fontId="2" fillId="0" borderId="1" xfId="0" applyFont="1" applyBorder="1"/>
    <xf numFmtId="0" fontId="2" fillId="0" borderId="0" xfId="0" applyFont="1" applyAlignment="1">
      <alignment horizontal="left" indent="1"/>
    </xf>
    <xf numFmtId="37" fontId="2" fillId="2" borderId="0" xfId="0" applyNumberFormat="1" applyFont="1" applyFill="1"/>
    <xf numFmtId="37" fontId="3" fillId="0" borderId="0" xfId="1" applyNumberFormat="1" applyFont="1"/>
    <xf numFmtId="37" fontId="1" fillId="0" borderId="0" xfId="1" applyNumberFormat="1" applyFont="1"/>
    <xf numFmtId="39" fontId="0" fillId="0" borderId="0" xfId="0" applyNumberFormat="1"/>
    <xf numFmtId="0" fontId="0" fillId="0" borderId="2" xfId="0" applyBorder="1"/>
    <xf numFmtId="39" fontId="0" fillId="0" borderId="2" xfId="0" applyNumberFormat="1" applyBorder="1"/>
    <xf numFmtId="164" fontId="0" fillId="0" borderId="0" xfId="1" applyNumberFormat="1" applyFont="1"/>
    <xf numFmtId="10" fontId="2" fillId="0" borderId="0" xfId="1" applyNumberFormat="1" applyFont="1"/>
    <xf numFmtId="10" fontId="2" fillId="0" borderId="0" xfId="0" applyNumberFormat="1" applyFont="1"/>
    <xf numFmtId="0" fontId="2" fillId="0" borderId="2" xfId="0" applyFont="1" applyBorder="1"/>
    <xf numFmtId="10" fontId="2" fillId="0" borderId="2" xfId="0" applyNumberFormat="1" applyFont="1" applyBorder="1"/>
    <xf numFmtId="39" fontId="3" fillId="0" borderId="0" xfId="0" applyNumberFormat="1" applyFont="1"/>
    <xf numFmtId="39" fontId="3" fillId="0" borderId="1" xfId="0" applyNumberFormat="1" applyFont="1" applyBorder="1"/>
    <xf numFmtId="10" fontId="3" fillId="0" borderId="0" xfId="0" applyNumberFormat="1" applyFont="1"/>
    <xf numFmtId="10" fontId="3" fillId="0" borderId="1" xfId="0" applyNumberFormat="1" applyFont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167" fontId="0" fillId="0" borderId="0" xfId="2" applyNumberFormat="1" applyFont="1"/>
    <xf numFmtId="164" fontId="1" fillId="0" borderId="0" xfId="1" applyNumberFormat="1" applyFont="1"/>
    <xf numFmtId="164" fontId="3" fillId="0" borderId="0" xfId="1" applyNumberFormat="1" applyFont="1"/>
    <xf numFmtId="37" fontId="5" fillId="0" borderId="0" xfId="0" applyNumberFormat="1" applyFont="1"/>
    <xf numFmtId="164" fontId="5" fillId="0" borderId="0" xfId="0" applyNumberFormat="1" applyFont="1"/>
    <xf numFmtId="164" fontId="5" fillId="0" borderId="0" xfId="1" applyNumberFormat="1" applyFont="1"/>
    <xf numFmtId="37" fontId="5" fillId="0" borderId="1" xfId="0" applyNumberFormat="1" applyFont="1" applyBorder="1"/>
    <xf numFmtId="39" fontId="5" fillId="0" borderId="1" xfId="0" applyNumberFormat="1" applyFont="1" applyBorder="1"/>
    <xf numFmtId="10" fontId="5" fillId="0" borderId="0" xfId="1" applyNumberFormat="1" applyFont="1"/>
    <xf numFmtId="10" fontId="5" fillId="0" borderId="1" xfId="1" applyNumberFormat="1" applyFont="1" applyBorder="1"/>
    <xf numFmtId="165" fontId="3" fillId="2" borderId="0" xfId="0" applyNumberFormat="1" applyFont="1" applyFill="1"/>
    <xf numFmtId="10" fontId="2" fillId="2" borderId="0" xfId="0" applyNumberFormat="1" applyFont="1" applyFill="1"/>
    <xf numFmtId="0" fontId="0" fillId="0" borderId="5" xfId="0" applyBorder="1"/>
    <xf numFmtId="37" fontId="3" fillId="0" borderId="5" xfId="0" applyNumberFormat="1" applyFont="1" applyBorder="1"/>
    <xf numFmtId="37" fontId="0" fillId="0" borderId="5" xfId="0" applyNumberFormat="1" applyBorder="1" applyAlignment="1">
      <alignment horizontal="right"/>
    </xf>
    <xf numFmtId="37" fontId="0" fillId="0" borderId="5" xfId="0" applyNumberFormat="1" applyBorder="1"/>
    <xf numFmtId="0" fontId="2" fillId="0" borderId="5" xfId="0" applyFont="1" applyBorder="1"/>
    <xf numFmtId="0" fontId="10" fillId="3" borderId="14" xfId="0" applyFont="1" applyFill="1" applyBorder="1" applyAlignment="1">
      <alignment horizontal="center" vertical="center" wrapText="1"/>
    </xf>
    <xf numFmtId="171" fontId="19" fillId="3" borderId="15" xfId="0" applyNumberFormat="1" applyFont="1" applyFill="1" applyBorder="1" applyAlignment="1">
      <alignment horizontal="center" vertical="center"/>
    </xf>
    <xf numFmtId="171" fontId="19" fillId="3" borderId="16" xfId="0" applyNumberFormat="1" applyFont="1" applyFill="1" applyBorder="1" applyAlignment="1">
      <alignment horizontal="center" vertical="center"/>
    </xf>
    <xf numFmtId="164" fontId="19" fillId="3" borderId="17" xfId="0" applyNumberFormat="1" applyFont="1" applyFill="1" applyBorder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64" fontId="19" fillId="3" borderId="18" xfId="0" applyNumberFormat="1" applyFont="1" applyFill="1" applyBorder="1" applyAlignment="1">
      <alignment horizontal="center" vertical="center"/>
    </xf>
    <xf numFmtId="168" fontId="17" fillId="0" borderId="19" xfId="0" applyNumberFormat="1" applyFont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37" fontId="19" fillId="3" borderId="0" xfId="0" applyNumberFormat="1" applyFont="1" applyFill="1" applyAlignment="1">
      <alignment horizontal="right" vertical="center"/>
    </xf>
    <xf numFmtId="164" fontId="24" fillId="0" borderId="0" xfId="0" applyNumberFormat="1" applyFont="1" applyAlignment="1">
      <alignment horizontal="right" vertical="center"/>
    </xf>
    <xf numFmtId="37" fontId="19" fillId="0" borderId="0" xfId="0" applyNumberFormat="1" applyFont="1" applyAlignment="1">
      <alignment horizontal="right" vertical="center"/>
    </xf>
    <xf numFmtId="171" fontId="25" fillId="3" borderId="0" xfId="0" applyNumberFormat="1" applyFont="1" applyFill="1" applyAlignment="1">
      <alignment horizontal="right" vertical="center"/>
    </xf>
    <xf numFmtId="171" fontId="25" fillId="0" borderId="19" xfId="0" applyNumberFormat="1" applyFont="1" applyBorder="1" applyAlignment="1">
      <alignment horizontal="right" vertical="center"/>
    </xf>
    <xf numFmtId="0" fontId="9" fillId="5" borderId="0" xfId="0" applyFont="1" applyFill="1" applyAlignment="1">
      <alignment horizontal="center" vertical="center"/>
    </xf>
    <xf numFmtId="168" fontId="19" fillId="3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 indent="1"/>
    </xf>
    <xf numFmtId="0" fontId="0" fillId="9" borderId="0" xfId="0" applyFill="1"/>
    <xf numFmtId="0" fontId="7" fillId="4" borderId="0" xfId="0" applyFont="1" applyFill="1" applyAlignment="1">
      <alignment horizontal="left" vertical="center" indent="1"/>
    </xf>
    <xf numFmtId="0" fontId="0" fillId="4" borderId="0" xfId="0" applyFill="1"/>
    <xf numFmtId="0" fontId="8" fillId="5" borderId="0" xfId="0" applyFont="1" applyFill="1" applyAlignment="1">
      <alignment horizontal="left" vertical="center" indent="1"/>
    </xf>
    <xf numFmtId="0" fontId="0" fillId="5" borderId="0" xfId="0" applyFill="1"/>
    <xf numFmtId="0" fontId="9" fillId="5" borderId="0" xfId="0" applyFont="1" applyFill="1" applyAlignment="1">
      <alignment horizontal="right" vertical="center"/>
    </xf>
    <xf numFmtId="0" fontId="20" fillId="6" borderId="6" xfId="0" applyFont="1" applyFill="1" applyBorder="1" applyAlignment="1">
      <alignment horizontal="center" vertical="center"/>
    </xf>
    <xf numFmtId="0" fontId="21" fillId="6" borderId="7" xfId="0" applyFont="1" applyFill="1" applyBorder="1"/>
    <xf numFmtId="168" fontId="11" fillId="3" borderId="10" xfId="0" applyNumberFormat="1" applyFont="1" applyFill="1" applyBorder="1" applyAlignment="1">
      <alignment horizontal="center" vertical="center"/>
    </xf>
    <xf numFmtId="0" fontId="0" fillId="3" borderId="11" xfId="0" applyFill="1" applyBorder="1"/>
    <xf numFmtId="168" fontId="12" fillId="3" borderId="10" xfId="0" applyNumberFormat="1" applyFont="1" applyFill="1" applyBorder="1" applyAlignment="1">
      <alignment horizontal="center" vertical="center"/>
    </xf>
    <xf numFmtId="169" fontId="13" fillId="3" borderId="10" xfId="0" applyNumberFormat="1" applyFont="1" applyFill="1" applyBorder="1" applyAlignment="1">
      <alignment horizontal="center" vertical="center"/>
    </xf>
    <xf numFmtId="170" fontId="12" fillId="3" borderId="10" xfId="0" applyNumberFormat="1" applyFont="1" applyFill="1" applyBorder="1" applyAlignment="1">
      <alignment horizontal="center" vertical="center"/>
    </xf>
    <xf numFmtId="164" fontId="12" fillId="3" borderId="10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0" fillId="3" borderId="9" xfId="0" applyFill="1" applyBorder="1"/>
    <xf numFmtId="0" fontId="14" fillId="3" borderId="10" xfId="0" applyFont="1" applyFill="1" applyBorder="1" applyAlignment="1">
      <alignment horizontal="center" vertical="center"/>
    </xf>
    <xf numFmtId="171" fontId="12" fillId="3" borderId="10" xfId="0" applyNumberFormat="1" applyFont="1" applyFill="1" applyBorder="1" applyAlignment="1">
      <alignment horizontal="center" vertical="center"/>
    </xf>
    <xf numFmtId="164" fontId="17" fillId="0" borderId="13" xfId="0" applyNumberFormat="1" applyFont="1" applyBorder="1" applyAlignment="1">
      <alignment horizontal="right" vertical="center" indent="1"/>
    </xf>
    <xf numFmtId="0" fontId="0" fillId="0" borderId="13" xfId="0" applyBorder="1"/>
    <xf numFmtId="0" fontId="18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0" fillId="0" borderId="0" xfId="0"/>
    <xf numFmtId="0" fontId="17" fillId="0" borderId="13" xfId="0" applyFont="1" applyBorder="1" applyAlignment="1">
      <alignment horizontal="left" vertical="center" indent="1"/>
    </xf>
    <xf numFmtId="37" fontId="17" fillId="0" borderId="13" xfId="0" applyNumberFormat="1" applyFont="1" applyBorder="1" applyAlignment="1">
      <alignment horizontal="right" vertical="center" indent="1"/>
    </xf>
    <xf numFmtId="0" fontId="15" fillId="0" borderId="12" xfId="0" applyFont="1" applyBorder="1" applyAlignment="1">
      <alignment horizontal="left" vertical="center"/>
    </xf>
    <xf numFmtId="0" fontId="0" fillId="0" borderId="12" xfId="0" applyBorder="1"/>
    <xf numFmtId="0" fontId="16" fillId="0" borderId="0" xfId="0" applyFont="1" applyAlignment="1">
      <alignment horizontal="left" vertical="center"/>
    </xf>
    <xf numFmtId="2" fontId="17" fillId="0" borderId="13" xfId="0" applyNumberFormat="1" applyFont="1" applyBorder="1" applyAlignment="1">
      <alignment horizontal="right" vertical="center" indent="1"/>
    </xf>
    <xf numFmtId="10" fontId="17" fillId="0" borderId="13" xfId="0" applyNumberFormat="1" applyFont="1" applyBorder="1" applyAlignment="1">
      <alignment horizontal="right" vertical="center" indent="1"/>
    </xf>
    <xf numFmtId="0" fontId="19" fillId="7" borderId="13" xfId="0" applyFont="1" applyFill="1" applyBorder="1" applyAlignment="1">
      <alignment horizontal="left" vertical="center" indent="1"/>
    </xf>
    <xf numFmtId="0" fontId="0" fillId="7" borderId="13" xfId="0" applyFill="1" applyBorder="1"/>
    <xf numFmtId="10" fontId="19" fillId="7" borderId="13" xfId="0" applyNumberFormat="1" applyFont="1" applyFill="1" applyBorder="1" applyAlignment="1">
      <alignment horizontal="right" vertical="center" indent="1"/>
    </xf>
    <xf numFmtId="171" fontId="19" fillId="7" borderId="13" xfId="0" applyNumberFormat="1" applyFont="1" applyFill="1" applyBorder="1" applyAlignment="1">
      <alignment horizontal="right" vertical="center" indent="1"/>
    </xf>
    <xf numFmtId="0" fontId="22" fillId="5" borderId="0" xfId="0" applyFont="1" applyFill="1" applyAlignment="1">
      <alignment horizontal="left" vertical="center" indent="1"/>
    </xf>
    <xf numFmtId="0" fontId="22" fillId="5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left" vertical="center" indent="1"/>
    </xf>
    <xf numFmtId="0" fontId="0" fillId="3" borderId="0" xfId="0" applyFill="1"/>
    <xf numFmtId="164" fontId="19" fillId="3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164" fontId="25" fillId="0" borderId="0" xfId="0" applyNumberFormat="1" applyFont="1" applyAlignment="1">
      <alignment horizontal="center" vertical="center"/>
    </xf>
    <xf numFmtId="172" fontId="17" fillId="0" borderId="13" xfId="0" applyNumberFormat="1" applyFont="1" applyBorder="1" applyAlignment="1">
      <alignment horizontal="right" vertical="center" indent="1"/>
    </xf>
    <xf numFmtId="0" fontId="19" fillId="3" borderId="13" xfId="0" applyFont="1" applyFill="1" applyBorder="1" applyAlignment="1">
      <alignment horizontal="left" vertical="center" indent="1"/>
    </xf>
    <xf numFmtId="0" fontId="0" fillId="3" borderId="13" xfId="0" applyFill="1" applyBorder="1"/>
    <xf numFmtId="37" fontId="19" fillId="3" borderId="13" xfId="0" applyNumberFormat="1" applyFont="1" applyFill="1" applyBorder="1" applyAlignment="1">
      <alignment horizontal="right" vertical="center" indent="1"/>
    </xf>
    <xf numFmtId="0" fontId="0" fillId="5" borderId="11" xfId="0" applyFill="1" applyBorder="1"/>
    <xf numFmtId="0" fontId="26" fillId="3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indent="1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 indent="1"/>
    </xf>
    <xf numFmtId="164" fontId="19" fillId="0" borderId="0" xfId="0" applyNumberFormat="1" applyFont="1" applyAlignment="1">
      <alignment horizontal="center" vertical="center"/>
    </xf>
    <xf numFmtId="0" fontId="25" fillId="3" borderId="0" xfId="0" applyFont="1" applyFill="1" applyAlignment="1">
      <alignment horizontal="left" vertical="center" indent="1"/>
    </xf>
    <xf numFmtId="164" fontId="25" fillId="3" borderId="0" xfId="0" applyNumberFormat="1" applyFont="1" applyFill="1" applyAlignment="1">
      <alignment horizontal="center" vertical="center"/>
    </xf>
    <xf numFmtId="0" fontId="25" fillId="0" borderId="19" xfId="0" applyFont="1" applyBorder="1" applyAlignment="1">
      <alignment horizontal="left" vertical="center" indent="1"/>
    </xf>
    <xf numFmtId="0" fontId="0" fillId="0" borderId="19" xfId="0" applyBorder="1"/>
    <xf numFmtId="164" fontId="25" fillId="0" borderId="19" xfId="0" applyNumberFormat="1" applyFont="1" applyBorder="1" applyAlignment="1">
      <alignment horizontal="center" vertical="center"/>
    </xf>
    <xf numFmtId="169" fontId="19" fillId="3" borderId="13" xfId="0" applyNumberFormat="1" applyFont="1" applyFill="1" applyBorder="1" applyAlignment="1">
      <alignment horizontal="right" vertical="center" indent="1"/>
    </xf>
    <xf numFmtId="0" fontId="22" fillId="5" borderId="10" xfId="0" applyFont="1" applyFill="1" applyBorder="1" applyAlignment="1">
      <alignment horizontal="left" vertical="center" indent="1"/>
    </xf>
    <xf numFmtId="168" fontId="23" fillId="3" borderId="13" xfId="0" applyNumberFormat="1" applyFont="1" applyFill="1" applyBorder="1" applyAlignment="1">
      <alignment horizontal="right" vertical="center" indent="1"/>
    </xf>
    <xf numFmtId="168" fontId="17" fillId="0" borderId="13" xfId="0" applyNumberFormat="1" applyFont="1" applyBorder="1" applyAlignment="1">
      <alignment horizontal="right" vertical="center" indent="1"/>
    </xf>
    <xf numFmtId="0" fontId="33" fillId="0" borderId="0" xfId="0" applyFont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0" fillId="8" borderId="0" xfId="0" applyFill="1"/>
    <xf numFmtId="0" fontId="30" fillId="0" borderId="0" xfId="0" applyFont="1" applyAlignment="1">
      <alignment horizontal="left" vertical="center" indent="1"/>
    </xf>
    <xf numFmtId="0" fontId="31" fillId="0" borderId="0" xfId="0" applyFont="1" applyAlignment="1">
      <alignment horizontal="left" vertical="center" indent="1"/>
    </xf>
    <xf numFmtId="0" fontId="32" fillId="0" borderId="0" xfId="0" applyFont="1" applyAlignment="1">
      <alignment horizontal="left" vertical="center" indent="1"/>
    </xf>
    <xf numFmtId="0" fontId="0" fillId="10" borderId="0" xfId="0" applyFill="1"/>
    <xf numFmtId="0" fontId="2" fillId="10" borderId="0" xfId="0" applyFont="1" applyFill="1" applyAlignment="1">
      <alignment horizontal="centerContinuous"/>
    </xf>
    <xf numFmtId="0" fontId="4" fillId="10" borderId="1" xfId="0" applyFont="1" applyFill="1" applyBorder="1"/>
    <xf numFmtId="0" fontId="0" fillId="10" borderId="1" xfId="0" applyFill="1" applyBorder="1"/>
    <xf numFmtId="0" fontId="2" fillId="10" borderId="0" xfId="0" applyFont="1" applyFill="1"/>
    <xf numFmtId="166" fontId="2" fillId="10" borderId="3" xfId="0" applyNumberFormat="1" applyFont="1" applyFill="1" applyBorder="1"/>
    <xf numFmtId="165" fontId="2" fillId="10" borderId="3" xfId="0" applyNumberFormat="1" applyFont="1" applyFill="1" applyBorder="1"/>
    <xf numFmtId="165" fontId="2" fillId="10" borderId="4" xfId="0" applyNumberFormat="1" applyFont="1" applyFill="1" applyBorder="1"/>
    <xf numFmtId="10" fontId="2" fillId="10" borderId="0" xfId="1" applyNumberFormat="1" applyFont="1" applyFill="1"/>
    <xf numFmtId="10" fontId="2" fillId="10" borderId="4" xfId="1" applyNumberFormat="1" applyFont="1" applyFill="1" applyBorder="1"/>
    <xf numFmtId="0" fontId="0" fillId="0" borderId="0" xfId="0" applyFont="1"/>
  </cellXfs>
  <cellStyles count="3">
    <cellStyle name="Currency" xfId="2" builtinId="4"/>
    <cellStyle name="Normal" xfId="0" builtinId="0"/>
    <cellStyle name="Percent" xfId="1" builtinId="5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7F60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C62828"/>
      </font>
    </dxf>
  </dxfs>
  <tableStyles count="0" defaultTableStyle="TableStyleMedium2" defaultPivotStyle="PivotStyleLight16"/>
  <colors>
    <mruColors>
      <color rgb="FFE20074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157D-D3B8-684B-8A4A-1353246A2346}">
  <dimension ref="A1:M60"/>
  <sheetViews>
    <sheetView showGridLines="0" tabSelected="1" zoomScaleNormal="100" workbookViewId="0"/>
  </sheetViews>
  <sheetFormatPr baseColWidth="10" defaultRowHeight="16" x14ac:dyDescent="0.2"/>
  <cols>
    <col min="1" max="1" width="3.7109375" customWidth="1"/>
    <col min="8" max="8" width="9.85546875" customWidth="1"/>
    <col min="9" max="9" width="14.42578125" bestFit="1" customWidth="1"/>
    <col min="13" max="13" width="10.7109375" customWidth="1"/>
    <col min="14" max="14" width="3.7109375" customWidth="1"/>
  </cols>
  <sheetData>
    <row r="1" spans="1:13" x14ac:dyDescent="0.2">
      <c r="A1" s="142"/>
    </row>
    <row r="2" spans="1:13" x14ac:dyDescent="0.2">
      <c r="B2" s="64" t="s">
        <v>150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13" x14ac:dyDescent="0.2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3" x14ac:dyDescent="0.2">
      <c r="B4" s="66" t="s">
        <v>151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</row>
    <row r="5" spans="1:13" x14ac:dyDescent="0.2">
      <c r="B5" s="68" t="s">
        <v>152</v>
      </c>
      <c r="C5" s="69"/>
      <c r="D5" s="69"/>
      <c r="E5" s="69"/>
      <c r="F5" s="69"/>
      <c r="G5" s="69"/>
      <c r="H5" s="70" t="s">
        <v>153</v>
      </c>
      <c r="I5" s="69"/>
      <c r="J5" s="71" t="s">
        <v>154</v>
      </c>
      <c r="K5" s="72"/>
      <c r="L5" s="71" t="s">
        <v>143</v>
      </c>
      <c r="M5" s="72"/>
    </row>
    <row r="6" spans="1:13" ht="5" customHeight="1" thickBot="1" x14ac:dyDescent="0.25"/>
    <row r="7" spans="1:13" x14ac:dyDescent="0.2">
      <c r="B7" s="79" t="s">
        <v>155</v>
      </c>
      <c r="C7" s="80"/>
      <c r="D7" s="79" t="s">
        <v>156</v>
      </c>
      <c r="E7" s="80"/>
      <c r="F7" s="79" t="s">
        <v>157</v>
      </c>
      <c r="G7" s="80"/>
      <c r="H7" s="79" t="s">
        <v>158</v>
      </c>
      <c r="I7" s="80"/>
      <c r="J7" s="79" t="s">
        <v>12</v>
      </c>
      <c r="K7" s="80"/>
      <c r="L7" s="79" t="s">
        <v>159</v>
      </c>
      <c r="M7" s="80"/>
    </row>
    <row r="8" spans="1:13" ht="28" x14ac:dyDescent="0.2">
      <c r="B8" s="73">
        <f>'T-Mobile DCF Model'!C38</f>
        <v>190.23360597160496</v>
      </c>
      <c r="C8" s="74"/>
      <c r="D8" s="75">
        <f>'T-Mobile DCF Model'!C39</f>
        <v>154.06</v>
      </c>
      <c r="E8" s="74"/>
      <c r="F8" s="76">
        <f>'T-Mobile DCF Model'!C40</f>
        <v>0.23480206394654646</v>
      </c>
      <c r="G8" s="74"/>
      <c r="H8" s="77">
        <f>'T-Mobile DCF Model'!C32</f>
        <v>296097.32212571939</v>
      </c>
      <c r="I8" s="74"/>
      <c r="J8" s="78">
        <f>'T-Mobile DCF Model'!C45</f>
        <v>5.8585835626902664E-2</v>
      </c>
      <c r="K8" s="74"/>
      <c r="L8" s="77">
        <f>'T-Mobile DCF Model'!C36</f>
        <v>209611.32212571939</v>
      </c>
      <c r="M8" s="74"/>
    </row>
    <row r="9" spans="1:13" x14ac:dyDescent="0.2">
      <c r="B9" s="81" t="str">
        <f>"DCF base case  |  "&amp;TEXT('T-Mobile DCF Model'!C37,"#,##0")&amp;"mm shares"</f>
        <v>DCF base case  |  1,102mm shares</v>
      </c>
      <c r="C9" s="74"/>
      <c r="D9" s="81" t="str">
        <f>"Market cap $"&amp;TEXT('T-Mobile DCF Model'!F32/1000,"#,##0.0")&amp;"bn  |  10/13/2026"</f>
        <v>Market cap $169.8bn  |  10/13/2026</v>
      </c>
      <c r="E9" s="74"/>
      <c r="F9" s="81" t="str">
        <f>"Implied value vs. current price"</f>
        <v>Implied value vs. current price</v>
      </c>
      <c r="G9" s="74"/>
      <c r="H9" s="81" t="str">
        <f>"Implied "&amp;TEXT('T-Mobile DCF Model'!C32/'T-Mobile DCF Model'!C7,"0.0")&amp;"x FY25A EBITDA"</f>
        <v>Implied 9.3x FY25A EBITDA</v>
      </c>
      <c r="I9" s="74"/>
      <c r="J9" s="81" t="str">
        <f>"Exit multiple "&amp;TEXT('T-Mobile DCF Model'!C43,"0.0")&amp;"x EBITDA"</f>
        <v>Exit multiple 7.0x EBITDA</v>
      </c>
      <c r="K9" s="74"/>
      <c r="L9" s="81" t="str">
        <f>"Net debt $"&amp;TEXT(-('T-Mobile DCF Model'!C33+'T-Mobile DCF Model'!C34)/1000,"0.0")&amp;"bn (FY25A)"</f>
        <v>Net debt $86.5bn (FY25A)</v>
      </c>
      <c r="M9" s="74"/>
    </row>
    <row r="10" spans="1:13" ht="5" customHeight="1" thickBot="1" x14ac:dyDescent="0.25"/>
    <row r="11" spans="1:13" x14ac:dyDescent="0.2">
      <c r="B11" s="79" t="s">
        <v>160</v>
      </c>
      <c r="C11" s="80"/>
      <c r="D11" s="79" t="s">
        <v>161</v>
      </c>
      <c r="E11" s="80"/>
      <c r="F11" s="79" t="s">
        <v>162</v>
      </c>
      <c r="G11" s="80"/>
      <c r="H11" s="79" t="s">
        <v>163</v>
      </c>
      <c r="I11" s="80"/>
      <c r="J11" s="79" t="s">
        <v>164</v>
      </c>
      <c r="K11" s="80"/>
      <c r="L11" s="79" t="s">
        <v>165</v>
      </c>
      <c r="M11" s="80"/>
    </row>
    <row r="12" spans="1:13" ht="28" x14ac:dyDescent="0.2">
      <c r="B12" s="77">
        <f>'T-Mobile 3 Statement Model'!E4</f>
        <v>88309</v>
      </c>
      <c r="C12" s="74"/>
      <c r="D12" s="78">
        <f>('T-Mobile 3 Statement Model'!J4/'T-Mobile 3 Statement Model'!E4)^(1/5)-1</f>
        <v>6.0527120980989446E-2</v>
      </c>
      <c r="E12" s="74"/>
      <c r="F12" s="78">
        <f>'T-Mobile DCF Model'!C8</f>
        <v>0.35995198677371504</v>
      </c>
      <c r="G12" s="74"/>
      <c r="H12" s="77">
        <f>'T-Mobile 3 Statement Model'!J14</f>
        <v>15324.41110827856</v>
      </c>
      <c r="I12" s="74"/>
      <c r="J12" s="82">
        <f>F41</f>
        <v>2.7207978104256458</v>
      </c>
      <c r="K12" s="74"/>
      <c r="L12" s="77">
        <f>'T-Mobile DCF Model'!H19</f>
        <v>19707.041954279717</v>
      </c>
      <c r="M12" s="74"/>
    </row>
    <row r="13" spans="1:13" x14ac:dyDescent="0.2">
      <c r="B13" s="81" t="str">
        <f>TEXT('T-Mobile 3 Statement Model'!E17,"+0.0%;-0.0%")&amp;" year over year"</f>
        <v>+8.5% year over year</v>
      </c>
      <c r="C13" s="74"/>
      <c r="D13" s="81" t="str">
        <f>"FY30E revenue $"&amp;TEXT('T-Mobile 3 Statement Model'!J4/1000,"0.0")&amp;"bn"</f>
        <v>FY30E revenue $118.5bn</v>
      </c>
      <c r="E13" s="74"/>
      <c r="F13" s="81" t="str">
        <f>"FY30E: "&amp;TEXT('T-Mobile DCF Model'!H8,"0.0%")</f>
        <v>FY30E: 35.6%</v>
      </c>
      <c r="G13" s="74"/>
      <c r="H13" s="81" t="str">
        <f>"FY25A: $"&amp;TEXT('T-Mobile 3 Statement Model'!E14/1000,"0.0")&amp;"bn"</f>
        <v>FY25A: $11.0bn</v>
      </c>
      <c r="I13" s="74"/>
      <c r="J13" s="81" t="str">
        <f>"FY30E: "&amp;TEXT(K41,"0.0")&amp;"x"</f>
        <v>FY30E: 2.3x</v>
      </c>
      <c r="K13" s="74"/>
      <c r="L13" s="81" t="str">
        <f>"UFCF CAGR FY26E–30E: "&amp;TEXT(('T-Mobile DCF Model'!H19/'T-Mobile DCF Model'!D19)^(1/4)-1,"0.0%")</f>
        <v>UFCF CAGR FY26E–30E: 6.1%</v>
      </c>
      <c r="M13" s="74"/>
    </row>
    <row r="15" spans="1:13" ht="17" thickBot="1" x14ac:dyDescent="0.25">
      <c r="B15" s="90" t="s">
        <v>166</v>
      </c>
      <c r="C15" s="91"/>
      <c r="D15" s="91"/>
      <c r="E15" s="91"/>
      <c r="F15" s="91"/>
      <c r="G15" s="91"/>
      <c r="H15" s="90" t="s">
        <v>167</v>
      </c>
      <c r="I15" s="91"/>
      <c r="J15" s="91"/>
      <c r="K15" s="91"/>
      <c r="L15" s="91"/>
      <c r="M15" s="91"/>
    </row>
    <row r="16" spans="1:13" x14ac:dyDescent="0.2">
      <c r="B16" s="92" t="str">
        <f>"Base-case DCF points to "&amp;TEXT(ABS(F8),"0%")&amp;IF(F88&gt;=0," upside"," downside")&amp;" versus the current share price"</f>
        <v>Base-case DCF points to 23% upside versus the current share price</v>
      </c>
      <c r="C16" s="87"/>
      <c r="D16" s="87"/>
      <c r="E16" s="87"/>
      <c r="F16" s="87"/>
      <c r="G16" s="87"/>
      <c r="H16" s="88" t="s">
        <v>168</v>
      </c>
      <c r="I16" s="84"/>
      <c r="J16" s="84"/>
      <c r="K16" s="84"/>
      <c r="L16" s="83">
        <f>'T-Mobile 3 Statement Model'!F17</f>
        <v>6.0527120980989446E-2</v>
      </c>
      <c r="M16" s="84"/>
    </row>
    <row r="17" spans="2:13" ht="26" customHeight="1" x14ac:dyDescent="0.2">
      <c r="B17" s="85" t="s">
        <v>169</v>
      </c>
      <c r="C17" s="86" t="str">
        <f>"The DCF model suggests $"&amp;TEXT(B8,"0.00")&amp;" per share vs. $"&amp;TEXT(D8,"0.00")&amp;" today, using a "&amp;TEXT('T-Mobile DCF Model'!C45,"0.0%")&amp;" WACC and a "&amp;TEXT('T-Mobile DCF Model'!C43,"0.0")&amp;"x terminal multiple on a five-year unlevered cash flow forecast."</f>
        <v>The DCF model suggests $190.23 per share vs. $154.06 today, using a 5.9% WACC and a 7.0x terminal multiple on a five-year unlevered cash flow forecast.</v>
      </c>
      <c r="D17" s="87"/>
      <c r="E17" s="87"/>
      <c r="F17" s="87"/>
      <c r="G17" s="87"/>
      <c r="H17" s="88" t="s">
        <v>170</v>
      </c>
      <c r="I17" s="84"/>
      <c r="J17" s="84"/>
      <c r="K17" s="84"/>
      <c r="L17" s="83">
        <f>'T-Mobile 3 Statement Model'!F18</f>
        <v>0.62676909824194116</v>
      </c>
      <c r="M17" s="84"/>
    </row>
    <row r="18" spans="2:13" x14ac:dyDescent="0.2">
      <c r="B18" s="84"/>
      <c r="C18" s="84"/>
      <c r="D18" s="84"/>
      <c r="E18" s="84"/>
      <c r="F18" s="84"/>
      <c r="G18" s="84"/>
      <c r="H18" s="88" t="s">
        <v>171</v>
      </c>
      <c r="I18" s="84"/>
      <c r="J18" s="84"/>
      <c r="K18" s="84"/>
      <c r="L18" s="83">
        <f>'T-Mobile DCF Model'!D8</f>
        <v>0.35624305029501463</v>
      </c>
      <c r="M18" s="84"/>
    </row>
    <row r="19" spans="2:13" x14ac:dyDescent="0.2">
      <c r="B19" s="85" t="s">
        <v>172</v>
      </c>
      <c r="C19" s="86" t="str">
        <f>"Across the "&amp;COUNT(I47:M51)&amp;"-case sensitivity grid (WACC "&amp;TEXT(MIN(H47:H51),"0.0%")&amp;"–"&amp;TEXT(MAX(H47:H51),"0.0%")&amp;", exit multiple "&amp;TEXT(MIN(I46:M46),"0.0")&amp;"x–"&amp;TEXT(MAX(I46:M46),"0.0")&amp;"x), suggested value spans $"&amp;TEXT(K54,"0")&amp;"–$"&amp;TEXT(M54,"0")&amp;""</f>
        <v>Across the 25-case sensitivity grid (WACC 4.5%–6.5%, exit multiple 6.0x–8.0x), suggested value spans $155–$237</v>
      </c>
      <c r="D19" s="87"/>
      <c r="E19" s="87"/>
      <c r="F19" s="87"/>
      <c r="G19" s="87"/>
      <c r="H19" s="88" t="s">
        <v>173</v>
      </c>
      <c r="I19" s="84"/>
      <c r="J19" s="84"/>
      <c r="K19" s="84"/>
      <c r="L19" s="83">
        <f>'T-Mobile 3 Statement Model'!F20</f>
        <v>0.23447165811842732</v>
      </c>
      <c r="M19" s="84"/>
    </row>
    <row r="20" spans="2:13" ht="17" customHeight="1" x14ac:dyDescent="0.2">
      <c r="B20" s="84"/>
      <c r="C20" s="84"/>
      <c r="D20" s="84"/>
      <c r="E20" s="84"/>
      <c r="F20" s="84"/>
      <c r="G20" s="84"/>
      <c r="H20" s="88" t="s">
        <v>174</v>
      </c>
      <c r="I20" s="84"/>
      <c r="J20" s="84"/>
      <c r="K20" s="84"/>
      <c r="L20" s="89">
        <f>'T-Mobile 3 Statement Model'!F38</f>
        <v>5000</v>
      </c>
      <c r="M20" s="84"/>
    </row>
    <row r="21" spans="2:13" x14ac:dyDescent="0.2">
      <c r="B21" s="85" t="s">
        <v>175</v>
      </c>
      <c r="C21" s="86" t="str">
        <f>"Revenue is forecast to compound at "&amp;TEXT(D12,"0.0%")&amp;" a year to $"&amp;TEXT('T-Mobile 3 Statement Model'!J4/1000,"0.0")&amp;"bn by FY"&amp;'T-Mobile 3 Statement Model'!J3&amp;"E, with EBITDA margin near "&amp;TEXT(F12,"0.0%")&amp;" and net income rising from $"&amp;TEXT(F37/1000,"0.0")&amp;"bn to $"&amp;TEXT(K37/1000,"0.0")&amp;"bn."</f>
        <v>Revenue is forecast to compound at 6.1% a year to $118.5bn by FY2030E, with EBITDA margin near 36.0% and net income rising from $11.0bn to $15.3bn.</v>
      </c>
      <c r="D21" s="87"/>
      <c r="E21" s="87"/>
      <c r="F21" s="87"/>
      <c r="G21" s="87"/>
      <c r="H21" s="88" t="s">
        <v>176</v>
      </c>
      <c r="I21" s="84"/>
      <c r="J21" s="84"/>
      <c r="K21" s="84"/>
      <c r="L21" s="89">
        <f>-'T-Mobile 3 Statement Model'!F90</f>
        <v>9974</v>
      </c>
      <c r="M21" s="84"/>
    </row>
    <row r="22" spans="2:13" ht="25" customHeight="1" x14ac:dyDescent="0.2">
      <c r="B22" s="84"/>
      <c r="C22" s="84"/>
      <c r="D22" s="84"/>
      <c r="E22" s="84"/>
      <c r="F22" s="84"/>
      <c r="G22" s="84"/>
      <c r="H22" s="88" t="s">
        <v>177</v>
      </c>
      <c r="I22" s="84"/>
      <c r="J22" s="84"/>
      <c r="K22" s="84"/>
      <c r="L22" s="94">
        <f>'T-Mobile DCF Model'!F42</f>
        <v>4.2999999999999997E-2</v>
      </c>
      <c r="M22" s="84"/>
    </row>
    <row r="23" spans="2:13" x14ac:dyDescent="0.2">
      <c r="B23" s="85" t="s">
        <v>178</v>
      </c>
      <c r="C23" s="86" t="str">
        <f>"Free cash flow after capex of $"&amp;TEXT(('T-Mobile 3 Statement Model'!F115+'T-Mobile 3 Statement Model'!F119)/1000,"0.0")&amp;"bn in FY"&amp;'T-Mobile 3 Statement Model'!F3&amp;"E compares with $"&amp;TEXT(('T-Mobile 3 Statement Model'!F128+'T-Mobile 3 Statement Model'!F130)/-1000,"0.0")&amp;"bn of dividends and buybacks, "&amp;IF(D115&gt;D112,"so shareholder returns are partly debt-funded","so shareholder returns are covered by free cash flow")&amp;" ($"&amp;TEXT('T-Mobile 3 Statement Model'!F121/1000,"0.0")&amp;"bn of net new debt per year)."</f>
        <v>Free cash flow after capex of $12.7bn in FY2026E compares with $14.5bn of dividends and buybacks, so shareholder returns are covered by free cash flow ($5.0bn of net new debt per year).</v>
      </c>
      <c r="D23" s="87"/>
      <c r="E23" s="87"/>
      <c r="F23" s="87"/>
      <c r="G23" s="87"/>
      <c r="H23" s="88" t="s">
        <v>179</v>
      </c>
      <c r="I23" s="84"/>
      <c r="J23" s="84"/>
      <c r="K23" s="84"/>
      <c r="L23" s="93">
        <f>'T-Mobile DCF Model'!F43</f>
        <v>0.63</v>
      </c>
      <c r="M23" s="84"/>
    </row>
    <row r="24" spans="2:13" ht="27" customHeight="1" x14ac:dyDescent="0.2">
      <c r="B24" s="84"/>
      <c r="C24" s="84"/>
      <c r="D24" s="84"/>
      <c r="E24" s="84"/>
      <c r="F24" s="84"/>
      <c r="G24" s="84"/>
      <c r="H24" s="88" t="s">
        <v>180</v>
      </c>
      <c r="I24" s="84"/>
      <c r="J24" s="84"/>
      <c r="K24" s="84"/>
      <c r="L24" s="94">
        <f>'T-Mobile DCF Model'!F44</f>
        <v>4.7500000000000001E-2</v>
      </c>
      <c r="M24" s="84"/>
    </row>
    <row r="25" spans="2:13" x14ac:dyDescent="0.2">
      <c r="B25" s="85" t="s">
        <v>181</v>
      </c>
      <c r="C25" s="86" t="str">
        <f>"Terminal value is "&amp;TEXT(F47/F48,"0%")&amp;" of enterprise value, so results hinge on the exit multiple and WACC. Net debt/EBITDA is "&amp;TEXT(F41,"0.0")&amp;"x today and "&amp;TEXT(K41,"0.0")&amp;"x by FY"&amp;'T-Mobile 3 Statement Model'!J3&amp;"E; revenue growth is held flat at "&amp;TEXT('T-Mobile 3 Statement Model'!F17,"0.0%")&amp;" a year."</f>
        <v>Terminal value is 75% of enterprise value, so results hinge on the exit multiple and WACC. Net debt/EBITDA is 2.7x today and 2.3x by FY2030E; revenue growth is held flat at 6.1% a year.</v>
      </c>
      <c r="D25" s="87"/>
      <c r="E25" s="87"/>
      <c r="F25" s="87"/>
      <c r="G25" s="87"/>
      <c r="H25" s="88" t="s">
        <v>182</v>
      </c>
      <c r="I25" s="84"/>
      <c r="J25" s="84"/>
      <c r="K25" s="84"/>
      <c r="L25" s="94">
        <f>'T-Mobile DCF Model'!F45</f>
        <v>7.292499999999999E-2</v>
      </c>
      <c r="M25" s="84"/>
    </row>
    <row r="26" spans="2:13" ht="24" customHeight="1" x14ac:dyDescent="0.2">
      <c r="B26" s="84"/>
      <c r="C26" s="84"/>
      <c r="D26" s="84"/>
      <c r="E26" s="84"/>
      <c r="F26" s="84"/>
      <c r="G26" s="84"/>
      <c r="H26" s="88" t="s">
        <v>183</v>
      </c>
      <c r="I26" s="84"/>
      <c r="J26" s="84"/>
      <c r="K26" s="84"/>
      <c r="L26" s="94">
        <f>'T-Mobile DCF Model'!F40</f>
        <v>3.2152190359026056E-2</v>
      </c>
      <c r="M26" s="84"/>
    </row>
    <row r="27" spans="2:13" x14ac:dyDescent="0.2">
      <c r="B27" s="85" t="s">
        <v>184</v>
      </c>
      <c r="C27" s="86" t="str" cm="1">
        <f t="array" ref="C27">"Integrated income statement, balance sheet and cash flow built from 10-K filings (FY"&amp;'T-Mobile 3 Statement Model'!C3&amp;"A–FY"&amp;'T-Mobile 3 Statement Model'!E3&amp;"A); "&amp;IF(SUMPRODUCT(ABS('T-Mobile 3 Statement Model'!C80:J80))&lt;1,"the balance sheet balances in every period.","CHECK: balance sheet does not balance in every period.")</f>
        <v>Integrated income statement, balance sheet and cash flow built from 10-K filings (FY2023A–FY2025A); the balance sheet balances in every period.</v>
      </c>
      <c r="D27" s="87"/>
      <c r="E27" s="87"/>
      <c r="F27" s="87"/>
      <c r="G27" s="87"/>
      <c r="H27" s="95" t="s">
        <v>12</v>
      </c>
      <c r="I27" s="96"/>
      <c r="J27" s="96"/>
      <c r="K27" s="96"/>
      <c r="L27" s="97">
        <f>'T-Mobile DCF Model'!C45</f>
        <v>5.8585835626902664E-2</v>
      </c>
      <c r="M27" s="96"/>
    </row>
    <row r="28" spans="2:13" x14ac:dyDescent="0.2">
      <c r="B28" s="84"/>
      <c r="C28" s="84"/>
      <c r="D28" s="84"/>
      <c r="E28" s="84"/>
      <c r="F28" s="84"/>
      <c r="G28" s="84"/>
      <c r="H28" s="95" t="s">
        <v>185</v>
      </c>
      <c r="I28" s="96"/>
      <c r="J28" s="96"/>
      <c r="K28" s="96"/>
      <c r="L28" s="98">
        <f>'T-Mobile DCF Model'!C43</f>
        <v>7</v>
      </c>
      <c r="M28" s="96"/>
    </row>
    <row r="30" spans="2:13" x14ac:dyDescent="0.2">
      <c r="B30" s="99" t="s">
        <v>199</v>
      </c>
      <c r="C30" s="69"/>
      <c r="D30" s="56" t="str">
        <f>"FY"&amp;'T-Mobile 3 Statement Model'!C3&amp;"A"</f>
        <v>FY2023A</v>
      </c>
      <c r="E30" s="56" t="str">
        <f>"FY"&amp;'T-Mobile 3 Statement Model'!D3&amp;"A"</f>
        <v>FY2024A</v>
      </c>
      <c r="F30" s="56" t="str">
        <f>"FY"&amp;'T-Mobile 3 Statement Model'!E3&amp;"A"</f>
        <v>FY2025A</v>
      </c>
      <c r="G30" s="56" t="str">
        <f>"FY"&amp;'T-Mobile 3 Statement Model'!F3&amp;"A"</f>
        <v>FY2026A</v>
      </c>
      <c r="H30" s="56" t="str">
        <f>"FY"&amp;'T-Mobile 3 Statement Model'!G3&amp;"A"</f>
        <v>FY2027A</v>
      </c>
      <c r="I30" s="56" t="str">
        <f>"FY"&amp;'T-Mobile 3 Statement Model'!H3&amp;"A"</f>
        <v>FY2028A</v>
      </c>
      <c r="J30" s="56" t="str">
        <f>"FY"&amp;'T-Mobile 3 Statement Model'!I3&amp;"A"</f>
        <v>FY2029A</v>
      </c>
      <c r="K30" s="56" t="str">
        <f>"FY"&amp;'T-Mobile 3 Statement Model'!J3&amp;"A"</f>
        <v>FY2030A</v>
      </c>
      <c r="L30" s="100" t="s">
        <v>200</v>
      </c>
      <c r="M30" s="69"/>
    </row>
    <row r="31" spans="2:13" x14ac:dyDescent="0.2">
      <c r="B31" s="101" t="s">
        <v>1</v>
      </c>
      <c r="C31" s="102"/>
      <c r="D31" s="57">
        <f>'T-Mobile 3 Statement Model'!C4</f>
        <v>78558</v>
      </c>
      <c r="E31" s="57">
        <f>'T-Mobile 3 Statement Model'!D4</f>
        <v>81400</v>
      </c>
      <c r="F31" s="57">
        <f>'T-Mobile 3 Statement Model'!E4</f>
        <v>88309</v>
      </c>
      <c r="G31" s="57">
        <f>'T-Mobile 3 Statement Model'!F4</f>
        <v>93654.089526710202</v>
      </c>
      <c r="H31" s="57">
        <f>'T-Mobile 3 Statement Model'!G4</f>
        <v>99322.70193385781</v>
      </c>
      <c r="I31" s="57">
        <f>'T-Mobile 3 Statement Model'!H4</f>
        <v>105334.41912996718</v>
      </c>
      <c r="J31" s="57">
        <f>'T-Mobile 3 Statement Model'!I4</f>
        <v>111710.00826010895</v>
      </c>
      <c r="K31" s="57">
        <f>'T-Mobile 3 Statement Model'!J4</f>
        <v>118471.49344485589</v>
      </c>
      <c r="L31" s="103">
        <f>(K31/F31)^(1/5)-1</f>
        <v>6.0527120980989446E-2</v>
      </c>
      <c r="M31" s="102"/>
    </row>
    <row r="32" spans="2:13" x14ac:dyDescent="0.2">
      <c r="B32" s="104" t="s">
        <v>201</v>
      </c>
      <c r="C32" s="87"/>
      <c r="D32" s="58" t="s">
        <v>202</v>
      </c>
      <c r="E32" s="58">
        <f>'T-Mobile 3 Statement Model'!D17</f>
        <v>3.6177092084828999E-2</v>
      </c>
      <c r="F32" s="58">
        <f>'T-Mobile 3 Statement Model'!E17</f>
        <v>8.4877149877149893E-2</v>
      </c>
      <c r="G32" s="58">
        <f>'T-Mobile 3 Statement Model'!F17</f>
        <v>6.0527120980989446E-2</v>
      </c>
      <c r="H32" s="58">
        <f>'T-Mobile 3 Statement Model'!G17</f>
        <v>6.0527120980989446E-2</v>
      </c>
      <c r="I32" s="58">
        <f>'T-Mobile 3 Statement Model'!H17</f>
        <v>6.0527120980989446E-2</v>
      </c>
      <c r="J32" s="58">
        <f>'T-Mobile 3 Statement Model'!I17</f>
        <v>6.0527120980989446E-2</v>
      </c>
      <c r="K32" s="58">
        <f>'T-Mobile 3 Statement Model'!J17</f>
        <v>6.0527120980989446E-2</v>
      </c>
      <c r="L32" s="105">
        <f>AVERAGE(G32:K32)</f>
        <v>6.0527120980989446E-2</v>
      </c>
      <c r="M32" s="87"/>
    </row>
    <row r="33" spans="2:13" x14ac:dyDescent="0.2">
      <c r="B33" s="101" t="s">
        <v>3</v>
      </c>
      <c r="C33" s="102"/>
      <c r="D33" s="57">
        <f>'T-Mobile 3 Statement Model'!C7-'T-Mobile 3 Statement Model'!C23</f>
        <v>27084</v>
      </c>
      <c r="E33" s="57">
        <f>'T-Mobile 3 Statement Model'!D7-'T-Mobile 3 Statement Model'!D23</f>
        <v>30929</v>
      </c>
      <c r="F33" s="57">
        <f>'T-Mobile 3 Statement Model'!E7-'T-Mobile 3 Statement Model'!E23</f>
        <v>31787</v>
      </c>
      <c r="G33" s="57">
        <f>'T-Mobile 3 Statement Model'!F7-'T-Mobile 3 Statement Model'!F23</f>
        <v>33363.618525597623</v>
      </c>
      <c r="H33" s="57">
        <f>'T-Mobile 3 Statement Model'!G7-'T-Mobile 3 Statement Model'!G23</f>
        <v>35383.022300460056</v>
      </c>
      <c r="I33" s="57">
        <f>'T-Mobile 3 Statement Model'!H7-'T-Mobile 3 Statement Model'!H23</f>
        <v>37524.654771913039</v>
      </c>
      <c r="J33" s="57">
        <f>'T-Mobile 3 Statement Model'!I7-'T-Mobile 3 Statement Model'!I23</f>
        <v>39795.914091062499</v>
      </c>
      <c r="K33" s="57">
        <f>'T-Mobile 3 Statement Model'!J7-'T-Mobile 3 Statement Model'!J23</f>
        <v>42204.646197801289</v>
      </c>
      <c r="L33" s="103">
        <f>(K33/F33)^(1/5)-1</f>
        <v>5.8332527921139743E-2</v>
      </c>
      <c r="M33" s="102"/>
    </row>
    <row r="34" spans="2:13" x14ac:dyDescent="0.2">
      <c r="B34" s="104" t="s">
        <v>203</v>
      </c>
      <c r="C34" s="87"/>
      <c r="D34" s="58">
        <f t="shared" ref="D34:K34" si="0">D33/D31</f>
        <v>0.34476437791186132</v>
      </c>
      <c r="E34" s="58">
        <f t="shared" si="0"/>
        <v>0.37996314496314498</v>
      </c>
      <c r="F34" s="58">
        <f t="shared" si="0"/>
        <v>0.35995198677371504</v>
      </c>
      <c r="G34" s="58">
        <f t="shared" si="0"/>
        <v>0.35624305029501463</v>
      </c>
      <c r="H34" s="58">
        <f t="shared" si="0"/>
        <v>0.35624305029501463</v>
      </c>
      <c r="I34" s="58">
        <f t="shared" si="0"/>
        <v>0.35624305029501452</v>
      </c>
      <c r="J34" s="58">
        <f t="shared" si="0"/>
        <v>0.35624305029501468</v>
      </c>
      <c r="K34" s="58">
        <f t="shared" si="0"/>
        <v>0.35624305029501457</v>
      </c>
      <c r="L34" s="105">
        <f>AVERAGE(G34:K34)</f>
        <v>0.35624305029501463</v>
      </c>
      <c r="M34" s="87"/>
    </row>
    <row r="35" spans="2:13" x14ac:dyDescent="0.2">
      <c r="B35" s="101" t="s">
        <v>204</v>
      </c>
      <c r="C35" s="102"/>
      <c r="D35" s="57">
        <f>'T-Mobile 3 Statement Model'!C7</f>
        <v>14266</v>
      </c>
      <c r="E35" s="57">
        <f>'T-Mobile 3 Statement Model'!D7</f>
        <v>18010</v>
      </c>
      <c r="F35" s="57">
        <f>'T-Mobile 3 Statement Model'!E7</f>
        <v>18279</v>
      </c>
      <c r="G35" s="57">
        <f>'T-Mobile 3 Statement Model'!F7</f>
        <v>19038.018175386416</v>
      </c>
      <c r="H35" s="57">
        <f>'T-Mobile 3 Statement Model'!G7</f>
        <v>20190.334604726311</v>
      </c>
      <c r="I35" s="57">
        <f>'T-Mobile 3 Statement Model'!H7</f>
        <v>21412.397429993231</v>
      </c>
      <c r="J35" s="57">
        <f>'T-Mobile 3 Statement Model'!I7</f>
        <v>22708.428199731468</v>
      </c>
      <c r="K35" s="57">
        <f>'T-Mobile 3 Statement Model'!J7</f>
        <v>24082.90398066472</v>
      </c>
      <c r="L35" s="103">
        <f>(K35/F35)^(1/5)-1</f>
        <v>5.6698970376185986E-2</v>
      </c>
      <c r="M35" s="102"/>
    </row>
    <row r="36" spans="2:13" x14ac:dyDescent="0.2">
      <c r="B36" s="104" t="s">
        <v>203</v>
      </c>
      <c r="C36" s="87"/>
      <c r="D36" s="58">
        <f t="shared" ref="D36:K36" si="1">D35/D31</f>
        <v>0.18159830952926501</v>
      </c>
      <c r="E36" s="58">
        <f t="shared" si="1"/>
        <v>0.22125307125307125</v>
      </c>
      <c r="F36" s="58">
        <f t="shared" si="1"/>
        <v>0.20698909510921876</v>
      </c>
      <c r="G36" s="58">
        <f t="shared" si="1"/>
        <v>0.20328015863051835</v>
      </c>
      <c r="H36" s="58">
        <f t="shared" si="1"/>
        <v>0.20328015863051838</v>
      </c>
      <c r="I36" s="58">
        <f t="shared" si="1"/>
        <v>0.20328015863051832</v>
      </c>
      <c r="J36" s="58">
        <f t="shared" si="1"/>
        <v>0.2032801586305184</v>
      </c>
      <c r="K36" s="58">
        <f t="shared" si="1"/>
        <v>0.20328015863051835</v>
      </c>
      <c r="L36" s="105">
        <f>AVERAGE(G36:K36)</f>
        <v>0.20328015863051835</v>
      </c>
      <c r="M36" s="87"/>
    </row>
    <row r="37" spans="2:13" x14ac:dyDescent="0.2">
      <c r="B37" s="101" t="s">
        <v>205</v>
      </c>
      <c r="C37" s="102"/>
      <c r="D37" s="57">
        <f>'T-Mobile 3 Statement Model'!C14</f>
        <v>8317</v>
      </c>
      <c r="E37" s="57">
        <f>'T-Mobile 3 Statement Model'!D14</f>
        <v>11339</v>
      </c>
      <c r="F37" s="57">
        <f>'T-Mobile 3 Statement Model'!E14</f>
        <v>10992</v>
      </c>
      <c r="G37" s="57">
        <f>'T-Mobile 3 Statement Model'!F14</f>
        <v>11855.564555577923</v>
      </c>
      <c r="H37" s="57">
        <f>'T-Mobile 3 Statement Model'!G14</f>
        <v>12619.610757782568</v>
      </c>
      <c r="I37" s="57">
        <f>'T-Mobile 3 Statement Model'!H14</f>
        <v>13450.9628852312</v>
      </c>
      <c r="J37" s="57">
        <f>'T-Mobile 3 Statement Model'!I14</f>
        <v>14351.088665988707</v>
      </c>
      <c r="K37" s="57">
        <f>'T-Mobile 3 Statement Model'!J14</f>
        <v>15324.41110827856</v>
      </c>
      <c r="L37" s="103">
        <f>(K37/F37)^(1/5)-1</f>
        <v>6.8713794012460028E-2</v>
      </c>
      <c r="M37" s="102"/>
    </row>
    <row r="38" spans="2:13" x14ac:dyDescent="0.2">
      <c r="B38" s="104" t="s">
        <v>203</v>
      </c>
      <c r="C38" s="87"/>
      <c r="D38" s="58">
        <f t="shared" ref="D38:K38" si="2">D37/D31</f>
        <v>0.10587082155859365</v>
      </c>
      <c r="E38" s="58">
        <f t="shared" si="2"/>
        <v>0.1392997542997543</v>
      </c>
      <c r="F38" s="58">
        <f t="shared" si="2"/>
        <v>0.12447202436897711</v>
      </c>
      <c r="G38" s="58">
        <f t="shared" si="2"/>
        <v>0.12658886136730535</v>
      </c>
      <c r="H38" s="58">
        <f t="shared" si="2"/>
        <v>0.12705665987808482</v>
      </c>
      <c r="I38" s="58">
        <f t="shared" si="2"/>
        <v>0.12769769840031767</v>
      </c>
      <c r="J38" s="58">
        <f t="shared" si="2"/>
        <v>0.12846734943008151</v>
      </c>
      <c r="K38" s="58">
        <f t="shared" si="2"/>
        <v>0.1293510418640203</v>
      </c>
      <c r="L38" s="105">
        <f>AVERAGE(G38:K38)</f>
        <v>0.12783232218796195</v>
      </c>
      <c r="M38" s="87"/>
    </row>
    <row r="39" spans="2:13" x14ac:dyDescent="0.2">
      <c r="B39" s="101" t="s">
        <v>206</v>
      </c>
      <c r="C39" s="102"/>
      <c r="D39" s="57" t="s">
        <v>202</v>
      </c>
      <c r="E39" s="57" t="s">
        <v>202</v>
      </c>
      <c r="F39" s="57">
        <f>'T-Mobile DCF Model'!C19</f>
        <v>12381.092561253266</v>
      </c>
      <c r="G39" s="57">
        <f>'T-Mobile DCF Model'!D19</f>
        <v>15579.774520803023</v>
      </c>
      <c r="H39" s="57">
        <f>'T-Mobile DCF Model'!E19</f>
        <v>16521.752170989832</v>
      </c>
      <c r="I39" s="57">
        <f>'T-Mobile DCF Model'!F19</f>
        <v>17521.766263461246</v>
      </c>
      <c r="J39" s="57">
        <f>'T-Mobile DCF Model'!G19</f>
        <v>18582.308329890409</v>
      </c>
      <c r="K39" s="57">
        <f>'T-Mobile DCF Model'!H19</f>
        <v>19707.041954279717</v>
      </c>
      <c r="L39" s="103">
        <f>(K39/F39)^(1/5)-1</f>
        <v>9.7419048347668902E-2</v>
      </c>
      <c r="M39" s="102"/>
    </row>
    <row r="40" spans="2:13" x14ac:dyDescent="0.2">
      <c r="B40" s="113" t="s">
        <v>207</v>
      </c>
      <c r="C40" s="87"/>
      <c r="D40" s="59">
        <f>'T-Mobile 3 Statement Model'!C59+'T-Mobile 3 Statement Model'!C65+'T-Mobile 3 Statement Model'!C66+'T-Mobile 3 Statement Model'!C67-'T-Mobile 3 Statement Model'!C42</f>
        <v>76156</v>
      </c>
      <c r="E40" s="59">
        <f>'T-Mobile 3 Statement Model'!D59+'T-Mobile 3 Statement Model'!D65+'T-Mobile 3 Statement Model'!D66+'T-Mobile 3 Statement Model'!D67-'T-Mobile 3 Statement Model'!D42</f>
        <v>78846</v>
      </c>
      <c r="F40" s="59">
        <f>'T-Mobile 3 Statement Model'!E59+'T-Mobile 3 Statement Model'!E65+'T-Mobile 3 Statement Model'!E66+'T-Mobile 3 Statement Model'!E67-'T-Mobile 3 Statement Model'!E42</f>
        <v>86486</v>
      </c>
      <c r="G40" s="59">
        <f>'T-Mobile 3 Statement Model'!F59+'T-Mobile 3 Statement Model'!F65+'T-Mobile 3 Statement Model'!F66+'T-Mobile 3 Statement Model'!F67-'T-Mobile 3 Statement Model'!F42</f>
        <v>89627.750989065607</v>
      </c>
      <c r="H40" s="59">
        <f>'T-Mobile 3 Statement Model'!G59+'T-Mobile 3 Statement Model'!G65+'T-Mobile 3 Statement Model'!G66+'T-Mobile 3 Statement Model'!G67-'T-Mobile 3 Statement Model'!G42</f>
        <v>92163.685852779992</v>
      </c>
      <c r="I40" s="59">
        <f>'T-Mobile 3 Statement Model'!H59+'T-Mobile 3 Statement Model'!H65+'T-Mobile 3 Statement Model'!H66+'T-Mobile 3 Statement Model'!H67-'T-Mobile 3 Statement Model'!H42</f>
        <v>94170.613721774163</v>
      </c>
      <c r="J40" s="59">
        <f>'T-Mobile 3 Statement Model'!I59+'T-Mobile 3 Statement Model'!I65+'T-Mobile 3 Statement Model'!I66+'T-Mobile 3 Statement Model'!I67-'T-Mobile 3 Statement Model'!I42</f>
        <v>95605.179495023156</v>
      </c>
      <c r="K40" s="59">
        <f>'T-Mobile 3 Statement Model'!J59+'T-Mobile 3 Statement Model'!J65+'T-Mobile 3 Statement Model'!J66+'T-Mobile 3 Statement Model'!J67-'T-Mobile 3 Statement Model'!J42</f>
        <v>96421.243996177276</v>
      </c>
      <c r="L40" s="116">
        <f>(K40/F40)^(1/5)-1</f>
        <v>2.1987029002791258E-2</v>
      </c>
      <c r="M40" s="87"/>
    </row>
    <row r="41" spans="2:13" x14ac:dyDescent="0.2">
      <c r="B41" s="117" t="s">
        <v>208</v>
      </c>
      <c r="C41" s="102"/>
      <c r="D41" s="60">
        <f t="shared" ref="D41:K41" si="3">D40/D33</f>
        <v>2.8118446315167627</v>
      </c>
      <c r="E41" s="60">
        <f t="shared" si="3"/>
        <v>2.5492579779494973</v>
      </c>
      <c r="F41" s="60">
        <f t="shared" si="3"/>
        <v>2.7207978104256458</v>
      </c>
      <c r="G41" s="60">
        <f t="shared" si="3"/>
        <v>2.6863917929136001</v>
      </c>
      <c r="H41" s="60">
        <f t="shared" si="3"/>
        <v>2.6047431751352024</v>
      </c>
      <c r="I41" s="60">
        <f t="shared" si="3"/>
        <v>2.5095664249057998</v>
      </c>
      <c r="J41" s="60">
        <f t="shared" si="3"/>
        <v>2.4023868198191356</v>
      </c>
      <c r="K41" s="60">
        <f t="shared" si="3"/>
        <v>2.2846120672183359</v>
      </c>
      <c r="L41" s="118" t="s">
        <v>202</v>
      </c>
      <c r="M41" s="102"/>
    </row>
    <row r="42" spans="2:13" x14ac:dyDescent="0.2">
      <c r="B42" s="119" t="s">
        <v>209</v>
      </c>
      <c r="C42" s="120"/>
      <c r="D42" s="61">
        <f>D35/-'T-Mobile 3 Statement Model'!C10</f>
        <v>4.2776611694152926</v>
      </c>
      <c r="E42" s="61">
        <f>E35/-'T-Mobile 3 Statement Model'!D10</f>
        <v>5.2799765464673118</v>
      </c>
      <c r="F42" s="61">
        <f>F35/-'T-Mobile 3 Statement Model'!E10</f>
        <v>4.8434022257551668</v>
      </c>
      <c r="G42" s="61">
        <f>G35/-'T-Mobile 3 Statement Model'!F10</f>
        <v>5.3609434258492001</v>
      </c>
      <c r="H42" s="61">
        <f>H35/-'T-Mobile 3 Statement Model'!G10</f>
        <v>5.4487528035854549</v>
      </c>
      <c r="I42" s="61">
        <f>I35/-'T-Mobile 3 Statement Model'!H10</f>
        <v>5.5738596267499094</v>
      </c>
      <c r="J42" s="61">
        <f>J35/-'T-Mobile 3 Statement Model'!I10</f>
        <v>5.7318716275120707</v>
      </c>
      <c r="K42" s="61">
        <f>K35/-'T-Mobile 3 Statement Model'!J10</f>
        <v>5.9247168694432188</v>
      </c>
      <c r="L42" s="121" t="s">
        <v>202</v>
      </c>
      <c r="M42" s="120"/>
    </row>
    <row r="44" spans="2:13" ht="17" thickBot="1" x14ac:dyDescent="0.25">
      <c r="B44" s="90" t="s">
        <v>186</v>
      </c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</row>
    <row r="45" spans="2:13" x14ac:dyDescent="0.2">
      <c r="B45" s="99" t="s">
        <v>187</v>
      </c>
      <c r="C45" s="69"/>
      <c r="D45" s="69"/>
      <c r="E45" s="69"/>
      <c r="F45" s="69"/>
      <c r="G45" s="110"/>
      <c r="H45" s="123" t="s">
        <v>197</v>
      </c>
      <c r="I45" s="69"/>
      <c r="J45" s="69"/>
      <c r="K45" s="69"/>
      <c r="L45" s="69"/>
      <c r="M45" s="69"/>
    </row>
    <row r="46" spans="2:13" ht="24" x14ac:dyDescent="0.2">
      <c r="B46" s="88" t="s">
        <v>188</v>
      </c>
      <c r="C46" s="84"/>
      <c r="D46" s="84"/>
      <c r="E46" s="84"/>
      <c r="F46" s="89">
        <f>'T-Mobile DCF Model'!C30</f>
        <v>73854.414277514326</v>
      </c>
      <c r="G46" s="84"/>
      <c r="H46" s="49" t="s">
        <v>198</v>
      </c>
      <c r="I46" s="50">
        <f>'T-Mobile DCF Model'!C49</f>
        <v>6</v>
      </c>
      <c r="J46" s="50">
        <f>'T-Mobile DCF Model'!D49</f>
        <v>6.5</v>
      </c>
      <c r="K46" s="50">
        <f>'T-Mobile DCF Model'!E49</f>
        <v>7</v>
      </c>
      <c r="L46" s="50">
        <f>'T-Mobile DCF Model'!F49</f>
        <v>7.5</v>
      </c>
      <c r="M46" s="51">
        <f>'T-Mobile DCF Model'!G49</f>
        <v>8</v>
      </c>
    </row>
    <row r="47" spans="2:13" x14ac:dyDescent="0.2">
      <c r="B47" s="88" t="s">
        <v>189</v>
      </c>
      <c r="C47" s="84"/>
      <c r="D47" s="84"/>
      <c r="E47" s="84"/>
      <c r="F47" s="89">
        <f>'T-Mobile DCF Model'!C31</f>
        <v>222242.90784820507</v>
      </c>
      <c r="G47" s="84"/>
      <c r="H47" s="52">
        <f>'T-Mobile DCF Model'!B50</f>
        <v>4.4999999999999998E-2</v>
      </c>
      <c r="I47" s="53">
        <f>'T-Mobile DCF Model'!C50</f>
        <v>175.61708260529309</v>
      </c>
      <c r="J47" s="53">
        <f>'T-Mobile DCF Model'!D50</f>
        <v>190.98522298698578</v>
      </c>
      <c r="K47" s="53">
        <f>'T-Mobile DCF Model'!E50</f>
        <v>206.35336336867846</v>
      </c>
      <c r="L47" s="53">
        <f>'T-Mobile DCF Model'!F50</f>
        <v>221.72150375037108</v>
      </c>
      <c r="M47" s="53">
        <f>'T-Mobile DCF Model'!G50</f>
        <v>237.08964413206377</v>
      </c>
    </row>
    <row r="48" spans="2:13" x14ac:dyDescent="0.2">
      <c r="B48" s="107" t="s">
        <v>190</v>
      </c>
      <c r="C48" s="108"/>
      <c r="D48" s="108"/>
      <c r="E48" s="108"/>
      <c r="F48" s="109">
        <f>'T-Mobile DCF Model'!C32</f>
        <v>296097.32212571939</v>
      </c>
      <c r="G48" s="108"/>
      <c r="H48" s="52">
        <f>'T-Mobile DCF Model'!B51</f>
        <v>0.05</v>
      </c>
      <c r="I48" s="53">
        <f>'T-Mobile DCF Model'!C51</f>
        <v>170.26886611352128</v>
      </c>
      <c r="J48" s="53">
        <f>'T-Mobile DCF Model'!D51</f>
        <v>185.2745666749779</v>
      </c>
      <c r="K48" s="53">
        <f>'T-Mobile DCF Model'!E51</f>
        <v>200.28026723643453</v>
      </c>
      <c r="L48" s="53">
        <f>'T-Mobile DCF Model'!F51</f>
        <v>215.28596779789115</v>
      </c>
      <c r="M48" s="53">
        <f>'T-Mobile DCF Model'!G51</f>
        <v>230.29166835934774</v>
      </c>
    </row>
    <row r="49" spans="2:13" x14ac:dyDescent="0.2">
      <c r="B49" s="88" t="s">
        <v>191</v>
      </c>
      <c r="C49" s="84"/>
      <c r="D49" s="84"/>
      <c r="E49" s="84"/>
      <c r="F49" s="89">
        <f>'T-Mobile DCF Model'!C33+'T-Mobile DCF Model'!C34</f>
        <v>-86486</v>
      </c>
      <c r="G49" s="84"/>
      <c r="H49" s="52">
        <f>'T-Mobile DCF Model'!B52</f>
        <v>5.5E-2</v>
      </c>
      <c r="I49" s="53">
        <f>'T-Mobile DCF Model'!C52</f>
        <v>165.06518414784301</v>
      </c>
      <c r="J49" s="53">
        <f>'T-Mobile DCF Model'!D52</f>
        <v>179.71865392891004</v>
      </c>
      <c r="K49" s="53">
        <f>'T-Mobile DCF Model'!E52</f>
        <v>194.37212370997713</v>
      </c>
      <c r="L49" s="53">
        <f>'T-Mobile DCF Model'!F52</f>
        <v>209.02559349104419</v>
      </c>
      <c r="M49" s="53">
        <f>'T-Mobile DCF Model'!G52</f>
        <v>223.67906327211128</v>
      </c>
    </row>
    <row r="50" spans="2:13" x14ac:dyDescent="0.2">
      <c r="B50" s="107" t="s">
        <v>192</v>
      </c>
      <c r="C50" s="108"/>
      <c r="D50" s="108"/>
      <c r="E50" s="108"/>
      <c r="F50" s="109">
        <f>'T-Mobile DCF Model'!C36</f>
        <v>209611.32212571939</v>
      </c>
      <c r="G50" s="108"/>
      <c r="H50" s="52">
        <f>'T-Mobile DCF Model'!B53</f>
        <v>0.06</v>
      </c>
      <c r="I50" s="53">
        <f>'T-Mobile DCF Model'!C53</f>
        <v>160.00140975730397</v>
      </c>
      <c r="J50" s="53">
        <f>'T-Mobile DCF Model'!D53</f>
        <v>174.31252387703975</v>
      </c>
      <c r="K50" s="53">
        <f>'T-Mobile DCF Model'!E53</f>
        <v>188.62363799677556</v>
      </c>
      <c r="L50" s="53">
        <f>'T-Mobile DCF Model'!F53</f>
        <v>202.93475211651139</v>
      </c>
      <c r="M50" s="53">
        <f>'T-Mobile DCF Model'!G53</f>
        <v>217.24586623624728</v>
      </c>
    </row>
    <row r="51" spans="2:13" x14ac:dyDescent="0.2">
      <c r="B51" s="88" t="s">
        <v>193</v>
      </c>
      <c r="C51" s="84"/>
      <c r="D51" s="84"/>
      <c r="E51" s="84"/>
      <c r="F51" s="106">
        <f>'T-Mobile DCF Model'!C37</f>
        <v>1101.8627389999999</v>
      </c>
      <c r="G51" s="84"/>
      <c r="H51" s="54">
        <f>'T-Mobile DCF Model'!B54</f>
        <v>6.5000000000000002E-2</v>
      </c>
      <c r="I51" s="55">
        <f>'T-Mobile DCF Model'!C54</f>
        <v>155.07308589211104</v>
      </c>
      <c r="J51" s="55">
        <f>'T-Mobile DCF Model'!D54</f>
        <v>169.05139797292378</v>
      </c>
      <c r="K51" s="55">
        <f>'T-Mobile DCF Model'!E54</f>
        <v>183.02971005373649</v>
      </c>
      <c r="L51" s="55">
        <f>'T-Mobile DCF Model'!F54</f>
        <v>197.00802213454915</v>
      </c>
      <c r="M51" s="55">
        <f>'T-Mobile DCF Model'!G54</f>
        <v>210.98633421536186</v>
      </c>
    </row>
    <row r="52" spans="2:13" x14ac:dyDescent="0.2">
      <c r="B52" s="107" t="s">
        <v>194</v>
      </c>
      <c r="C52" s="108"/>
      <c r="D52" s="108"/>
      <c r="E52" s="108"/>
      <c r="F52" s="124">
        <f>'T-Mobile DCF Model'!C38</f>
        <v>190.23360597160496</v>
      </c>
      <c r="G52" s="108"/>
      <c r="H52" s="112" t="s">
        <v>215</v>
      </c>
      <c r="I52" s="87"/>
      <c r="J52" s="87"/>
      <c r="K52" s="87"/>
      <c r="L52" s="87"/>
      <c r="M52" s="87"/>
    </row>
    <row r="53" spans="2:13" x14ac:dyDescent="0.2">
      <c r="B53" s="88" t="s">
        <v>195</v>
      </c>
      <c r="C53" s="84"/>
      <c r="D53" s="84"/>
      <c r="E53" s="84"/>
      <c r="F53" s="125">
        <f>'T-Mobile DCF Model'!C39</f>
        <v>154.06</v>
      </c>
      <c r="G53" s="84"/>
      <c r="H53" s="111" t="s">
        <v>210</v>
      </c>
      <c r="I53" s="102"/>
      <c r="J53" s="62" t="s">
        <v>211</v>
      </c>
      <c r="K53" s="62" t="s">
        <v>212</v>
      </c>
      <c r="L53" s="62" t="s">
        <v>213</v>
      </c>
      <c r="M53" s="62" t="s">
        <v>214</v>
      </c>
    </row>
    <row r="54" spans="2:13" x14ac:dyDescent="0.2">
      <c r="B54" s="107" t="s">
        <v>196</v>
      </c>
      <c r="C54" s="108"/>
      <c r="D54" s="108"/>
      <c r="E54" s="108"/>
      <c r="F54" s="122">
        <f>'T-Mobile DCF Model'!C40</f>
        <v>0.23480206394654646</v>
      </c>
      <c r="G54" s="108"/>
      <c r="H54" s="102"/>
      <c r="I54" s="102"/>
      <c r="J54" s="63">
        <f>F53</f>
        <v>154.06</v>
      </c>
      <c r="K54" s="63">
        <f>MIN(I47:M51)</f>
        <v>155.07308589211104</v>
      </c>
      <c r="L54" s="63">
        <f>F52</f>
        <v>190.23360597160496</v>
      </c>
      <c r="M54" s="63">
        <f>MAX(I47:M51)</f>
        <v>237.08964413206377</v>
      </c>
    </row>
    <row r="56" spans="2:13" ht="17" thickBot="1" x14ac:dyDescent="0.25">
      <c r="B56" s="90" t="s">
        <v>216</v>
      </c>
      <c r="C56" s="91"/>
      <c r="D56" s="91"/>
      <c r="E56" s="91"/>
      <c r="F56" s="91"/>
      <c r="G56" s="91"/>
      <c r="H56" s="90" t="s">
        <v>217</v>
      </c>
      <c r="I56" s="91"/>
      <c r="J56" s="91"/>
      <c r="K56" s="91"/>
      <c r="L56" s="91"/>
      <c r="M56" s="91"/>
    </row>
    <row r="57" spans="2:13" x14ac:dyDescent="0.2">
      <c r="B57" s="113" t="s">
        <v>218</v>
      </c>
      <c r="C57" s="87"/>
      <c r="D57" s="114" t="s">
        <v>219</v>
      </c>
      <c r="E57" s="87"/>
      <c r="F57" s="87"/>
      <c r="G57" s="87"/>
      <c r="H57" s="115" t="s">
        <v>144</v>
      </c>
      <c r="I57" s="87"/>
      <c r="J57" s="114" t="s">
        <v>145</v>
      </c>
      <c r="K57" s="87"/>
      <c r="L57" s="87"/>
      <c r="M57" s="87"/>
    </row>
    <row r="58" spans="2:13" x14ac:dyDescent="0.2">
      <c r="B58" s="129" t="s">
        <v>154</v>
      </c>
      <c r="C58" s="87"/>
      <c r="D58" s="114" t="s">
        <v>220</v>
      </c>
      <c r="E58" s="87"/>
      <c r="F58" s="87"/>
      <c r="G58" s="87"/>
      <c r="H58" s="130" t="s">
        <v>146</v>
      </c>
      <c r="I58" s="87"/>
      <c r="J58" s="114" t="s">
        <v>147</v>
      </c>
      <c r="K58" s="87"/>
      <c r="L58" s="87"/>
      <c r="M58" s="87"/>
    </row>
    <row r="59" spans="2:13" x14ac:dyDescent="0.2">
      <c r="B59" s="129" t="s">
        <v>143</v>
      </c>
      <c r="C59" s="87"/>
      <c r="D59" s="114" t="s">
        <v>221</v>
      </c>
      <c r="E59" s="87"/>
      <c r="F59" s="87"/>
      <c r="G59" s="87"/>
      <c r="H59" s="131" t="s">
        <v>148</v>
      </c>
      <c r="I59" s="87"/>
      <c r="J59" s="114" t="s">
        <v>222</v>
      </c>
      <c r="K59" s="87"/>
      <c r="L59" s="87"/>
      <c r="M59" s="87"/>
    </row>
    <row r="60" spans="2:13" x14ac:dyDescent="0.2">
      <c r="B60" s="126" t="s">
        <v>223</v>
      </c>
      <c r="C60" s="87"/>
      <c r="D60" s="87"/>
      <c r="E60" s="87"/>
      <c r="F60" s="87"/>
      <c r="G60" s="87"/>
      <c r="H60" s="127" t="s">
        <v>149</v>
      </c>
      <c r="I60" s="128"/>
      <c r="J60" s="114" t="s">
        <v>224</v>
      </c>
      <c r="K60" s="87"/>
      <c r="L60" s="87"/>
      <c r="M60" s="87"/>
    </row>
  </sheetData>
  <mergeCells count="149">
    <mergeCell ref="B60:G60"/>
    <mergeCell ref="H60:I60"/>
    <mergeCell ref="J60:M60"/>
    <mergeCell ref="B58:C58"/>
    <mergeCell ref="D58:G58"/>
    <mergeCell ref="H58:I58"/>
    <mergeCell ref="J58:M58"/>
    <mergeCell ref="B59:C59"/>
    <mergeCell ref="D59:G59"/>
    <mergeCell ref="H59:I59"/>
    <mergeCell ref="J59:M59"/>
    <mergeCell ref="H53:I54"/>
    <mergeCell ref="H52:M52"/>
    <mergeCell ref="B56:G56"/>
    <mergeCell ref="H56:M56"/>
    <mergeCell ref="B57:C57"/>
    <mergeCell ref="D57:G57"/>
    <mergeCell ref="H57:I57"/>
    <mergeCell ref="J57:M57"/>
    <mergeCell ref="B40:C40"/>
    <mergeCell ref="L40:M40"/>
    <mergeCell ref="B41:C41"/>
    <mergeCell ref="L41:M41"/>
    <mergeCell ref="B42:C42"/>
    <mergeCell ref="L42:M42"/>
    <mergeCell ref="B54:E54"/>
    <mergeCell ref="F54:G54"/>
    <mergeCell ref="H45:M45"/>
    <mergeCell ref="B52:E52"/>
    <mergeCell ref="F52:G52"/>
    <mergeCell ref="B53:E53"/>
    <mergeCell ref="F53:G53"/>
    <mergeCell ref="L38:M38"/>
    <mergeCell ref="B39:C39"/>
    <mergeCell ref="L39:M39"/>
    <mergeCell ref="L33:M33"/>
    <mergeCell ref="B34:C34"/>
    <mergeCell ref="L34:M34"/>
    <mergeCell ref="B35:C35"/>
    <mergeCell ref="L35:M35"/>
    <mergeCell ref="B36:C36"/>
    <mergeCell ref="L36:M36"/>
    <mergeCell ref="B30:C30"/>
    <mergeCell ref="L30:M30"/>
    <mergeCell ref="B31:C31"/>
    <mergeCell ref="L31:M31"/>
    <mergeCell ref="B32:C32"/>
    <mergeCell ref="L32:M32"/>
    <mergeCell ref="B33:C33"/>
    <mergeCell ref="B51:E51"/>
    <mergeCell ref="F51:G51"/>
    <mergeCell ref="B48:E48"/>
    <mergeCell ref="F48:G48"/>
    <mergeCell ref="B49:E49"/>
    <mergeCell ref="F49:G49"/>
    <mergeCell ref="B50:E50"/>
    <mergeCell ref="F50:G50"/>
    <mergeCell ref="B44:M44"/>
    <mergeCell ref="B45:G45"/>
    <mergeCell ref="B46:E46"/>
    <mergeCell ref="F46:G46"/>
    <mergeCell ref="B47:E47"/>
    <mergeCell ref="F47:G47"/>
    <mergeCell ref="B37:C37"/>
    <mergeCell ref="L37:M37"/>
    <mergeCell ref="B38:C38"/>
    <mergeCell ref="B27:B28"/>
    <mergeCell ref="C27:G28"/>
    <mergeCell ref="H27:K27"/>
    <mergeCell ref="L27:M27"/>
    <mergeCell ref="H28:K28"/>
    <mergeCell ref="L28:M28"/>
    <mergeCell ref="B25:B26"/>
    <mergeCell ref="C25:G26"/>
    <mergeCell ref="H25:K25"/>
    <mergeCell ref="L25:M25"/>
    <mergeCell ref="H26:K26"/>
    <mergeCell ref="L26:M26"/>
    <mergeCell ref="B23:B24"/>
    <mergeCell ref="C23:G24"/>
    <mergeCell ref="H23:K23"/>
    <mergeCell ref="L23:M23"/>
    <mergeCell ref="H24:K24"/>
    <mergeCell ref="L24:M24"/>
    <mergeCell ref="B21:B22"/>
    <mergeCell ref="C21:G22"/>
    <mergeCell ref="H21:K21"/>
    <mergeCell ref="L21:M21"/>
    <mergeCell ref="H22:K22"/>
    <mergeCell ref="L22:M22"/>
    <mergeCell ref="L18:M18"/>
    <mergeCell ref="B19:B20"/>
    <mergeCell ref="C19:G20"/>
    <mergeCell ref="H19:K19"/>
    <mergeCell ref="L19:M19"/>
    <mergeCell ref="H20:K20"/>
    <mergeCell ref="L20:M20"/>
    <mergeCell ref="B15:G15"/>
    <mergeCell ref="H15:M15"/>
    <mergeCell ref="B16:G16"/>
    <mergeCell ref="H16:K16"/>
    <mergeCell ref="L16:M16"/>
    <mergeCell ref="B17:B18"/>
    <mergeCell ref="C17:G18"/>
    <mergeCell ref="H17:K17"/>
    <mergeCell ref="L17:M17"/>
    <mergeCell ref="H18:K18"/>
    <mergeCell ref="B13:C13"/>
    <mergeCell ref="D13:E13"/>
    <mergeCell ref="F13:G13"/>
    <mergeCell ref="H13:I13"/>
    <mergeCell ref="J13:K13"/>
    <mergeCell ref="L13:M13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L11:M11"/>
    <mergeCell ref="B9:C9"/>
    <mergeCell ref="D9:E9"/>
    <mergeCell ref="F9:G9"/>
    <mergeCell ref="H9:I9"/>
    <mergeCell ref="J9:K9"/>
    <mergeCell ref="L9:M9"/>
    <mergeCell ref="B2:M3"/>
    <mergeCell ref="B4:M4"/>
    <mergeCell ref="B5:G5"/>
    <mergeCell ref="H5:I5"/>
    <mergeCell ref="J5:K5"/>
    <mergeCell ref="L5:M5"/>
    <mergeCell ref="B8:C8"/>
    <mergeCell ref="D8:E8"/>
    <mergeCell ref="F8:G8"/>
    <mergeCell ref="H8:I8"/>
    <mergeCell ref="J8:K8"/>
    <mergeCell ref="L8:M8"/>
    <mergeCell ref="B7:C7"/>
    <mergeCell ref="D7:E7"/>
    <mergeCell ref="F7:G7"/>
    <mergeCell ref="H7:I7"/>
    <mergeCell ref="J7:K7"/>
    <mergeCell ref="L7:M7"/>
  </mergeCells>
  <conditionalFormatting sqref="F8">
    <cfRule type="cellIs" dxfId="3" priority="4" operator="lessThan">
      <formula>0</formula>
    </cfRule>
  </conditionalFormatting>
  <conditionalFormatting sqref="I47:M51">
    <cfRule type="cellIs" dxfId="2" priority="1" stopIfTrue="1" operator="greaterThanOrEqual">
      <formula>$F$52</formula>
    </cfRule>
    <cfRule type="cellIs" dxfId="1" priority="2" stopIfTrue="1" operator="greaterThanOrEqual">
      <formula>$F$53</formula>
    </cfRule>
    <cfRule type="cellIs" dxfId="0" priority="3" operator="lessThan">
      <formula>$F$53</formula>
    </cfRule>
  </conditionalFormatting>
  <hyperlinks>
    <hyperlink ref="J5" location="'T-Mobile 3 Statement Model'!A1" display="3-Statement Model" xr:uid="{75964E53-F3EB-DE43-B258-260235562672}"/>
    <hyperlink ref="L5" location="'T-Mobile DCF Model'!A1" display="DCF Model" xr:uid="{1EECD2CA-ED6B-0E4E-AC6E-5D1C382B760C}"/>
    <hyperlink ref="B58" location="'T-Mobile 3 Statement Model'!A1" display="3-Statement Model" xr:uid="{74401795-B9CF-534E-981C-A6D855791A92}"/>
    <hyperlink ref="B59" location="'T-Mobile DCF Model'!A1" display="DCF Model" xr:uid="{CC6245D3-2FE8-DF40-82DE-CB6D5CB9B6A0}"/>
  </hyperlinks>
  <pageMargins left="0.7" right="0.7" top="0.75" bottom="0.75" header="0.3" footer="0.3"/>
  <pageSetup scale="75" fitToHeight="2" orientation="landscape" horizontalDpi="0" verticalDpi="0"/>
  <rowBreaks count="1" manualBreakCount="1">
    <brk id="29" min="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9204-8CD2-E749-997B-A3B2186DF556}">
  <dimension ref="B2:J136"/>
  <sheetViews>
    <sheetView zoomScaleNormal="100" zoomScaleSheetLayoutView="100" workbookViewId="0"/>
  </sheetViews>
  <sheetFormatPr baseColWidth="10" defaultRowHeight="16" x14ac:dyDescent="0.2"/>
  <cols>
    <col min="1" max="1" width="3.7109375" customWidth="1"/>
    <col min="2" max="2" width="42.85546875" bestFit="1" customWidth="1"/>
    <col min="11" max="11" width="3.7109375" customWidth="1"/>
  </cols>
  <sheetData>
    <row r="2" spans="2:10" ht="16" customHeight="1" x14ac:dyDescent="0.2">
      <c r="B2" s="132" t="s">
        <v>0</v>
      </c>
      <c r="C2" s="133" t="s">
        <v>16</v>
      </c>
      <c r="D2" s="133"/>
      <c r="E2" s="133"/>
      <c r="F2" s="133" t="s">
        <v>15</v>
      </c>
      <c r="G2" s="133"/>
      <c r="H2" s="133"/>
      <c r="I2" s="133"/>
      <c r="J2" s="133"/>
    </row>
    <row r="3" spans="2:10" x14ac:dyDescent="0.2">
      <c r="B3" s="134" t="s">
        <v>17</v>
      </c>
      <c r="C3" s="135">
        <v>2023</v>
      </c>
      <c r="D3" s="135">
        <v>2024</v>
      </c>
      <c r="E3" s="135">
        <v>2025</v>
      </c>
      <c r="F3" s="135">
        <v>2026</v>
      </c>
      <c r="G3" s="135">
        <v>2027</v>
      </c>
      <c r="H3" s="135">
        <v>2028</v>
      </c>
      <c r="I3" s="135">
        <v>2029</v>
      </c>
      <c r="J3" s="135">
        <v>2030</v>
      </c>
    </row>
    <row r="4" spans="2:10" x14ac:dyDescent="0.2">
      <c r="B4" t="s">
        <v>1</v>
      </c>
      <c r="C4" s="9">
        <v>78558</v>
      </c>
      <c r="D4" s="9">
        <v>81400</v>
      </c>
      <c r="E4" s="9">
        <v>88309</v>
      </c>
      <c r="F4" s="3">
        <f>E4*(1+F17)</f>
        <v>93654.089526710202</v>
      </c>
      <c r="G4" s="3">
        <f>F4*(1+G17)</f>
        <v>99322.70193385781</v>
      </c>
      <c r="H4" s="3">
        <f>G4*(1+H17)</f>
        <v>105334.41912996718</v>
      </c>
      <c r="I4" s="3">
        <f>H4*(1+I17)</f>
        <v>111710.00826010895</v>
      </c>
      <c r="J4" s="3">
        <f>I4*(1+J17)</f>
        <v>118471.49344485589</v>
      </c>
    </row>
    <row r="5" spans="2:10" x14ac:dyDescent="0.2">
      <c r="B5" t="s">
        <v>18</v>
      </c>
      <c r="C5" s="9">
        <v>-34104</v>
      </c>
      <c r="D5" s="9">
        <v>-33737</v>
      </c>
      <c r="E5" s="9">
        <v>-37256</v>
      </c>
      <c r="F5" s="3">
        <f>-F4*F19</f>
        <v>-39661.47106393976</v>
      </c>
      <c r="G5" s="3">
        <f>-G4*G19</f>
        <v>-42062.065721310857</v>
      </c>
      <c r="H5" s="3">
        <f>-H4*H19</f>
        <v>-44607.961461934974</v>
      </c>
      <c r="I5" s="3">
        <f>-I4*I19</f>
        <v>-47307.952942056821</v>
      </c>
      <c r="J5" s="3">
        <f>-J4*J19</f>
        <v>-50171.367133143649</v>
      </c>
    </row>
    <row r="6" spans="2:10" x14ac:dyDescent="0.2">
      <c r="B6" s="10" t="s">
        <v>66</v>
      </c>
      <c r="C6" s="11">
        <v>-30188</v>
      </c>
      <c r="D6" s="11">
        <v>-29653</v>
      </c>
      <c r="E6" s="11">
        <v>-32774</v>
      </c>
      <c r="F6" s="12">
        <f>-F4*(1-F18)</f>
        <v>-34954.600287384026</v>
      </c>
      <c r="G6" s="12">
        <f>-G4*(1-G18)</f>
        <v>-37070.301607820642</v>
      </c>
      <c r="H6" s="12">
        <f>-H4*(1-H18)</f>
        <v>-39314.060238038976</v>
      </c>
      <c r="I6" s="12">
        <f>-I4*(1-I18)</f>
        <v>-41693.627118320663</v>
      </c>
      <c r="J6" s="12">
        <f>-J4*(1-J18)</f>
        <v>-44217.222331047524</v>
      </c>
    </row>
    <row r="7" spans="2:10" x14ac:dyDescent="0.2">
      <c r="B7" s="5" t="s">
        <v>63</v>
      </c>
      <c r="C7" s="8">
        <f>SUM(C4:C6)</f>
        <v>14266</v>
      </c>
      <c r="D7" s="8">
        <f t="shared" ref="D7:E7" si="0">SUM(D4:D6)</f>
        <v>18010</v>
      </c>
      <c r="E7" s="8">
        <f t="shared" si="0"/>
        <v>18279</v>
      </c>
      <c r="F7" s="8">
        <f t="shared" ref="F7" si="1">SUM(F4:F6)</f>
        <v>19038.018175386416</v>
      </c>
      <c r="G7" s="8">
        <f t="shared" ref="G7" si="2">SUM(G4:G6)</f>
        <v>20190.334604726311</v>
      </c>
      <c r="H7" s="8">
        <f t="shared" ref="H7" si="3">SUM(H4:H6)</f>
        <v>21412.397429993231</v>
      </c>
      <c r="I7" s="8">
        <f t="shared" ref="I7" si="4">SUM(I4:I6)</f>
        <v>22708.428199731468</v>
      </c>
      <c r="J7" s="8">
        <f t="shared" ref="J7" si="5">SUM(J4:J6)</f>
        <v>24082.90398066472</v>
      </c>
    </row>
    <row r="8" spans="2:10" x14ac:dyDescent="0.2">
      <c r="C8" s="3"/>
      <c r="D8" s="3"/>
      <c r="E8" s="3"/>
      <c r="F8" s="3"/>
      <c r="G8" s="3"/>
      <c r="H8" s="3"/>
      <c r="I8" s="3"/>
      <c r="J8" s="3"/>
    </row>
    <row r="9" spans="2:10" x14ac:dyDescent="0.2">
      <c r="B9" t="s">
        <v>69</v>
      </c>
      <c r="C9" s="9">
        <v>68</v>
      </c>
      <c r="D9" s="9">
        <v>113</v>
      </c>
      <c r="E9" s="9">
        <v>-224</v>
      </c>
      <c r="F9" s="9">
        <v>0</v>
      </c>
      <c r="G9" s="9">
        <v>0</v>
      </c>
      <c r="H9" s="9">
        <v>0</v>
      </c>
      <c r="I9" s="9">
        <v>0</v>
      </c>
      <c r="J9" s="9">
        <v>0</v>
      </c>
    </row>
    <row r="10" spans="2:10" x14ac:dyDescent="0.2">
      <c r="B10" s="10" t="s">
        <v>68</v>
      </c>
      <c r="C10" s="11">
        <v>-3335</v>
      </c>
      <c r="D10" s="11">
        <v>-3411</v>
      </c>
      <c r="E10" s="11">
        <v>-3774</v>
      </c>
      <c r="F10" s="12">
        <f>-F37*(E59+E65+E66)+F36*E42</f>
        <v>-3551.2440000000001</v>
      </c>
      <c r="G10" s="12">
        <f t="shared" ref="G10:J10" si="6">-G37*(F59+F65+F66)+G36*F42</f>
        <v>-3705.4965296719683</v>
      </c>
      <c r="H10" s="12">
        <f t="shared" si="6"/>
        <v>-3841.5745755834</v>
      </c>
      <c r="I10" s="12">
        <f t="shared" si="6"/>
        <v>-3961.7824116532252</v>
      </c>
      <c r="J10" s="12">
        <f t="shared" si="6"/>
        <v>-4064.8193848506949</v>
      </c>
    </row>
    <row r="11" spans="2:10" x14ac:dyDescent="0.2">
      <c r="B11" s="5" t="s">
        <v>64</v>
      </c>
      <c r="C11" s="8">
        <f>SUM(C7,C9:C10)</f>
        <v>10999</v>
      </c>
      <c r="D11" s="8">
        <f t="shared" ref="D11:E11" si="7">SUM(D7,D9:D10)</f>
        <v>14712</v>
      </c>
      <c r="E11" s="8">
        <f t="shared" si="7"/>
        <v>14281</v>
      </c>
      <c r="F11" s="8">
        <f t="shared" ref="F11" si="8">SUM(F7,F9:F10)</f>
        <v>15486.774175386416</v>
      </c>
      <c r="G11" s="8">
        <f t="shared" ref="G11" si="9">SUM(G7,G9:G10)</f>
        <v>16484.838075054344</v>
      </c>
      <c r="H11" s="8">
        <f t="shared" ref="H11" si="10">SUM(H7,H9:H10)</f>
        <v>17570.822854409831</v>
      </c>
      <c r="I11" s="8">
        <f t="shared" ref="I11" si="11">SUM(I7,I9:I10)</f>
        <v>18746.645788078244</v>
      </c>
      <c r="J11" s="8">
        <f t="shared" ref="J11" si="12">SUM(J7,J9:J10)</f>
        <v>20018.084595814023</v>
      </c>
    </row>
    <row r="13" spans="2:10" x14ac:dyDescent="0.2">
      <c r="B13" s="10" t="s">
        <v>65</v>
      </c>
      <c r="C13" s="11">
        <v>-2682</v>
      </c>
      <c r="D13" s="11">
        <v>-3373</v>
      </c>
      <c r="E13" s="11">
        <v>-3289</v>
      </c>
      <c r="F13" s="12">
        <f>-F20*F11</f>
        <v>-3631.2096198084928</v>
      </c>
      <c r="G13" s="12">
        <f t="shared" ref="G13:J13" si="13">-G20*G11</f>
        <v>-3865.2273172717755</v>
      </c>
      <c r="H13" s="12">
        <f t="shared" si="13"/>
        <v>-4119.8599691786312</v>
      </c>
      <c r="I13" s="12">
        <f t="shared" si="13"/>
        <v>-4395.5571220895372</v>
      </c>
      <c r="J13" s="12">
        <f t="shared" si="13"/>
        <v>-4693.6734875354623</v>
      </c>
    </row>
    <row r="14" spans="2:10" x14ac:dyDescent="0.2">
      <c r="B14" s="5" t="s">
        <v>19</v>
      </c>
      <c r="C14" s="8">
        <f>SUM(C11,C13)</f>
        <v>8317</v>
      </c>
      <c r="D14" s="8">
        <f>SUM(D11,D13)</f>
        <v>11339</v>
      </c>
      <c r="E14" s="8">
        <f>SUM(E11,E13)</f>
        <v>10992</v>
      </c>
      <c r="F14" s="8">
        <f t="shared" ref="F14:J14" si="14">SUM(F11,F13)</f>
        <v>11855.564555577923</v>
      </c>
      <c r="G14" s="8">
        <f t="shared" si="14"/>
        <v>12619.610757782568</v>
      </c>
      <c r="H14" s="8">
        <f t="shared" si="14"/>
        <v>13450.9628852312</v>
      </c>
      <c r="I14" s="8">
        <f t="shared" si="14"/>
        <v>14351.088665988707</v>
      </c>
      <c r="J14" s="8">
        <f t="shared" si="14"/>
        <v>15324.41110827856</v>
      </c>
    </row>
    <row r="16" spans="2:10" x14ac:dyDescent="0.2">
      <c r="B16" s="13" t="s">
        <v>20</v>
      </c>
      <c r="C16" s="10"/>
      <c r="D16" s="10"/>
      <c r="E16" s="10"/>
      <c r="F16" s="10"/>
      <c r="G16" s="10"/>
      <c r="H16" s="10"/>
      <c r="I16" s="10"/>
      <c r="J16" s="10"/>
    </row>
    <row r="17" spans="2:10" x14ac:dyDescent="0.2">
      <c r="B17" s="1" t="s">
        <v>23</v>
      </c>
      <c r="C17" s="21"/>
      <c r="D17" s="21">
        <f>D4/C4-1</f>
        <v>3.6177092084828999E-2</v>
      </c>
      <c r="E17" s="21">
        <f>E4/D4-1</f>
        <v>8.4877149877149893E-2</v>
      </c>
      <c r="F17" s="21">
        <f>AVERAGE(D17:E17)</f>
        <v>6.0527120980989446E-2</v>
      </c>
      <c r="G17" s="21">
        <f>F17</f>
        <v>6.0527120980989446E-2</v>
      </c>
      <c r="H17" s="21">
        <f t="shared" ref="H17:J17" si="15">G17</f>
        <v>6.0527120980989446E-2</v>
      </c>
      <c r="I17" s="21">
        <f t="shared" si="15"/>
        <v>6.0527120980989446E-2</v>
      </c>
      <c r="J17" s="21">
        <f t="shared" si="15"/>
        <v>6.0527120980989446E-2</v>
      </c>
    </row>
    <row r="18" spans="2:10" x14ac:dyDescent="0.2">
      <c r="B18" s="1" t="s">
        <v>21</v>
      </c>
      <c r="C18" s="21">
        <f>1+(C6/C4)</f>
        <v>0.61572341454721347</v>
      </c>
      <c r="D18" s="21">
        <f>1+(D6/D4)</f>
        <v>0.63571253071253064</v>
      </c>
      <c r="E18" s="21">
        <f>1+(E6/E4)</f>
        <v>0.62887134946607937</v>
      </c>
      <c r="F18" s="21">
        <f>AVERAGE(C18:E18)</f>
        <v>0.62676909824194116</v>
      </c>
      <c r="G18" s="21">
        <f t="shared" ref="G18:J18" si="16">F18</f>
        <v>0.62676909824194116</v>
      </c>
      <c r="H18" s="21">
        <f t="shared" si="16"/>
        <v>0.62676909824194116</v>
      </c>
      <c r="I18" s="21">
        <f t="shared" si="16"/>
        <v>0.62676909824194116</v>
      </c>
      <c r="J18" s="21">
        <f t="shared" si="16"/>
        <v>0.62676909824194116</v>
      </c>
    </row>
    <row r="19" spans="2:10" x14ac:dyDescent="0.2">
      <c r="B19" s="1" t="s">
        <v>67</v>
      </c>
      <c r="C19" s="21">
        <f>-C5/C4</f>
        <v>0.43412510501794854</v>
      </c>
      <c r="D19" s="21">
        <f>-D5/D4</f>
        <v>0.41445945945945944</v>
      </c>
      <c r="E19" s="21">
        <f>-E5/E4</f>
        <v>0.42188225435686055</v>
      </c>
      <c r="F19" s="21">
        <f t="shared" ref="F19:F20" si="17">AVERAGE(C19:E19)</f>
        <v>0.42348893961142281</v>
      </c>
      <c r="G19" s="21">
        <f t="shared" ref="G19:J19" si="18">F19</f>
        <v>0.42348893961142281</v>
      </c>
      <c r="H19" s="21">
        <f t="shared" si="18"/>
        <v>0.42348893961142281</v>
      </c>
      <c r="I19" s="21">
        <f t="shared" si="18"/>
        <v>0.42348893961142281</v>
      </c>
      <c r="J19" s="21">
        <f t="shared" si="18"/>
        <v>0.42348893961142281</v>
      </c>
    </row>
    <row r="20" spans="2:10" x14ac:dyDescent="0.2">
      <c r="B20" s="1" t="s">
        <v>22</v>
      </c>
      <c r="C20" s="21">
        <f>-C13/C11</f>
        <v>0.24384034912264752</v>
      </c>
      <c r="D20" s="21">
        <f>-D13/D11</f>
        <v>0.22926862425231104</v>
      </c>
      <c r="E20" s="21">
        <f>-E13/E11</f>
        <v>0.2303060009803235</v>
      </c>
      <c r="F20" s="21">
        <f t="shared" si="17"/>
        <v>0.23447165811842732</v>
      </c>
      <c r="G20" s="21">
        <f t="shared" ref="G20:J20" si="19">F20</f>
        <v>0.23447165811842732</v>
      </c>
      <c r="H20" s="21">
        <f t="shared" si="19"/>
        <v>0.23447165811842732</v>
      </c>
      <c r="I20" s="21">
        <f t="shared" si="19"/>
        <v>0.23447165811842732</v>
      </c>
      <c r="J20" s="21">
        <f t="shared" si="19"/>
        <v>0.23447165811842732</v>
      </c>
    </row>
    <row r="21" spans="2:10" x14ac:dyDescent="0.2">
      <c r="B21" s="1" t="s">
        <v>70</v>
      </c>
      <c r="C21" s="2"/>
      <c r="D21" s="2"/>
      <c r="E21" s="2"/>
      <c r="F21" s="2">
        <f>F6/E6-1</f>
        <v>6.6534456806737863E-2</v>
      </c>
      <c r="G21" s="2">
        <f>G6/F6-1</f>
        <v>6.0527120980989224E-2</v>
      </c>
      <c r="H21" s="2">
        <f>H6/G6-1</f>
        <v>6.0527120980989668E-2</v>
      </c>
      <c r="I21" s="2">
        <f>I6/H6-1</f>
        <v>6.0527120980989224E-2</v>
      </c>
      <c r="J21" s="2">
        <f>J6/I6-1</f>
        <v>6.0527120980989446E-2</v>
      </c>
    </row>
    <row r="23" spans="2:10" x14ac:dyDescent="0.2">
      <c r="B23" s="6" t="s">
        <v>95</v>
      </c>
      <c r="C23" s="9">
        <v>-12818</v>
      </c>
      <c r="D23" s="9">
        <v>-12919</v>
      </c>
      <c r="E23" s="9">
        <v>-13508</v>
      </c>
      <c r="F23" s="3">
        <f>-(E23*(1+F17))*-1</f>
        <v>-14325.600350211205</v>
      </c>
      <c r="G23" s="3">
        <f t="shared" ref="G23:J23" si="20">-(F23*(1+G17))*-1</f>
        <v>-15192.687695733744</v>
      </c>
      <c r="H23" s="3">
        <f t="shared" si="20"/>
        <v>-16112.257341919811</v>
      </c>
      <c r="I23" s="3">
        <f t="shared" si="20"/>
        <v>-17087.485891331027</v>
      </c>
      <c r="J23" s="3">
        <f t="shared" si="20"/>
        <v>-18121.742217136569</v>
      </c>
    </row>
    <row r="24" spans="2:10" x14ac:dyDescent="0.2">
      <c r="B24" s="6" t="s">
        <v>96</v>
      </c>
      <c r="C24" s="3">
        <f>C23-C28</f>
        <v>-11930</v>
      </c>
      <c r="D24" s="3">
        <f t="shared" ref="D24:J24" si="21">D23-D28</f>
        <v>-12062</v>
      </c>
      <c r="E24" s="3">
        <f t="shared" si="21"/>
        <v>-12533</v>
      </c>
      <c r="F24" s="3">
        <f t="shared" si="21"/>
        <v>-13291.586407254741</v>
      </c>
      <c r="G24" s="3">
        <f t="shared" si="21"/>
        <v>-14096.087865755924</v>
      </c>
      <c r="H24" s="3">
        <f t="shared" si="21"/>
        <v>-14949.28348136519</v>
      </c>
      <c r="I24" s="3">
        <f t="shared" si="21"/>
        <v>-15854.120571220888</v>
      </c>
      <c r="J24" s="3">
        <f t="shared" si="21"/>
        <v>-16813.724845082368</v>
      </c>
    </row>
    <row r="25" spans="2:10" x14ac:dyDescent="0.2">
      <c r="B25" s="6" t="s">
        <v>29</v>
      </c>
      <c r="C25" s="9">
        <v>-9801</v>
      </c>
      <c r="D25" s="9">
        <v>-8840</v>
      </c>
      <c r="E25" s="9">
        <v>-9955</v>
      </c>
      <c r="F25" s="3">
        <f>E25*(1+F17)</f>
        <v>-10557.54748936575</v>
      </c>
      <c r="G25" s="3">
        <f t="shared" ref="G25:J25" si="22">F25*(1+G17)</f>
        <v>-11196.565443517133</v>
      </c>
      <c r="H25" s="3">
        <f t="shared" si="22"/>
        <v>-11874.26131468846</v>
      </c>
      <c r="I25" s="3">
        <f t="shared" si="22"/>
        <v>-12592.97616584249</v>
      </c>
      <c r="J25" s="3">
        <f t="shared" si="22"/>
        <v>-13355.192757743156</v>
      </c>
    </row>
    <row r="26" spans="2:10" x14ac:dyDescent="0.2">
      <c r="B26" s="6" t="s">
        <v>79</v>
      </c>
      <c r="C26" s="9">
        <v>-1224</v>
      </c>
      <c r="D26" s="9">
        <v>-1222</v>
      </c>
      <c r="E26" s="9">
        <v>-1232</v>
      </c>
      <c r="F26" s="9">
        <v>-1200</v>
      </c>
      <c r="G26" s="3">
        <f>F26</f>
        <v>-1200</v>
      </c>
      <c r="H26" s="3">
        <f t="shared" ref="H26:J26" si="23">G26</f>
        <v>-1200</v>
      </c>
      <c r="I26" s="3">
        <f t="shared" si="23"/>
        <v>-1200</v>
      </c>
      <c r="J26" s="3">
        <f t="shared" si="23"/>
        <v>-1200</v>
      </c>
    </row>
    <row r="27" spans="2:10" x14ac:dyDescent="0.2">
      <c r="B27" s="6"/>
    </row>
    <row r="28" spans="2:10" x14ac:dyDescent="0.2">
      <c r="B28" s="6" t="s">
        <v>78</v>
      </c>
      <c r="C28" s="9">
        <v>-888</v>
      </c>
      <c r="D28" s="9">
        <v>-857</v>
      </c>
      <c r="E28" s="9">
        <v>-975</v>
      </c>
      <c r="F28" s="3">
        <f>-(E28*(1+F17)*-1)</f>
        <v>-1034.0139429564647</v>
      </c>
      <c r="G28" s="3">
        <f t="shared" ref="G28:J28" si="24">-(F28*(1+G17)*-1)</f>
        <v>-1096.5998299778205</v>
      </c>
      <c r="H28" s="3">
        <f t="shared" si="24"/>
        <v>-1162.9738605546204</v>
      </c>
      <c r="I28" s="3">
        <f t="shared" si="24"/>
        <v>-1233.3653201101383</v>
      </c>
      <c r="J28" s="3">
        <f t="shared" si="24"/>
        <v>-1308.0173720542014</v>
      </c>
    </row>
    <row r="29" spans="2:10" x14ac:dyDescent="0.2">
      <c r="B29" s="6" t="s">
        <v>31</v>
      </c>
      <c r="C29" s="9">
        <v>-1010</v>
      </c>
      <c r="D29" s="9">
        <v>-3471</v>
      </c>
      <c r="E29" s="9">
        <v>-2568</v>
      </c>
      <c r="F29" s="3">
        <f>E29*(1+F17)</f>
        <v>-2723.433646679181</v>
      </c>
      <c r="G29" s="3">
        <f t="shared" ref="G29:J29" si="25">F29*(1+G17)</f>
        <v>-2888.275244495429</v>
      </c>
      <c r="H29" s="3">
        <f t="shared" si="25"/>
        <v>-3063.0942296454009</v>
      </c>
      <c r="I29" s="3">
        <f t="shared" si="25"/>
        <v>-3248.4945046593189</v>
      </c>
      <c r="J29" s="3">
        <f t="shared" si="25"/>
        <v>-3445.1165245489128</v>
      </c>
    </row>
    <row r="30" spans="2:10" x14ac:dyDescent="0.2">
      <c r="B30" s="6"/>
    </row>
    <row r="31" spans="2:10" x14ac:dyDescent="0.2">
      <c r="B31" s="6" t="s">
        <v>77</v>
      </c>
      <c r="C31" s="21"/>
      <c r="D31" s="21">
        <f t="shared" ref="D31:E31" si="26">D51/-SUM(D5:D6)</f>
        <v>0.4006625650733554</v>
      </c>
      <c r="E31" s="21">
        <f t="shared" si="26"/>
        <v>0.36687134085391976</v>
      </c>
      <c r="F31" s="2">
        <f>E31</f>
        <v>0.36687134085391976</v>
      </c>
      <c r="G31" s="2">
        <f>F31</f>
        <v>0.36687134085391976</v>
      </c>
      <c r="H31" s="2">
        <f t="shared" ref="H31:J31" si="27">G31</f>
        <v>0.36687134085391976</v>
      </c>
      <c r="I31" s="2">
        <f t="shared" si="27"/>
        <v>0.36687134085391976</v>
      </c>
      <c r="J31" s="2">
        <f t="shared" si="27"/>
        <v>0.36687134085391976</v>
      </c>
    </row>
    <row r="32" spans="2:10" x14ac:dyDescent="0.2">
      <c r="B32" s="6" t="s">
        <v>97</v>
      </c>
      <c r="D32" s="3">
        <f>D51-C51</f>
        <v>-1737</v>
      </c>
      <c r="E32" s="3">
        <f t="shared" ref="E32:J32" si="28">E51-D51</f>
        <v>294</v>
      </c>
      <c r="F32" s="3">
        <f t="shared" si="28"/>
        <v>1682.4981459119044</v>
      </c>
      <c r="G32" s="3">
        <f t="shared" si="28"/>
        <v>1656.8995610714774</v>
      </c>
      <c r="H32" s="3">
        <f t="shared" si="28"/>
        <v>1757.1869212578131</v>
      </c>
      <c r="I32" s="3">
        <f t="shared" si="28"/>
        <v>1863.5443866269816</v>
      </c>
      <c r="J32" s="3">
        <f t="shared" si="28"/>
        <v>1976.3393631698018</v>
      </c>
    </row>
    <row r="33" spans="2:10" x14ac:dyDescent="0.2">
      <c r="B33" s="6"/>
    </row>
    <row r="34" spans="2:10" x14ac:dyDescent="0.2">
      <c r="B34" s="6" t="s">
        <v>138</v>
      </c>
      <c r="C34" s="21">
        <f>(C53/C4)</f>
        <v>7.9826370325110113E-2</v>
      </c>
      <c r="D34" s="21">
        <f>(D53/D4)</f>
        <v>8.0270270270270269E-2</v>
      </c>
      <c r="E34" s="21">
        <f>(E53/E4)</f>
        <v>0.14084634635201396</v>
      </c>
      <c r="F34" s="21">
        <f>E34</f>
        <v>0.14084634635201396</v>
      </c>
      <c r="G34" s="21">
        <f>F34</f>
        <v>0.14084634635201396</v>
      </c>
      <c r="H34" s="21">
        <f t="shared" ref="H34:J35" si="29">G34</f>
        <v>0.14084634635201396</v>
      </c>
      <c r="I34" s="21">
        <f t="shared" si="29"/>
        <v>0.14084634635201396</v>
      </c>
      <c r="J34" s="21">
        <f t="shared" si="29"/>
        <v>0.14084634635201396</v>
      </c>
    </row>
    <row r="35" spans="2:10" x14ac:dyDescent="0.2">
      <c r="B35" s="6" t="s">
        <v>98</v>
      </c>
      <c r="C35" s="21">
        <f>-C95/C14</f>
        <v>8.9816039437297102E-2</v>
      </c>
      <c r="D35" s="21">
        <f t="shared" ref="D35:E35" si="30">-D95/D14</f>
        <v>0.37939853602610457</v>
      </c>
      <c r="E35" s="21">
        <f t="shared" si="30"/>
        <v>0.38573508005822416</v>
      </c>
      <c r="F35" s="33">
        <f>E35</f>
        <v>0.38573508005822416</v>
      </c>
      <c r="G35" s="21">
        <f>F35</f>
        <v>0.38573508005822416</v>
      </c>
      <c r="H35" s="21">
        <f t="shared" si="29"/>
        <v>0.38573508005822416</v>
      </c>
      <c r="I35" s="21">
        <f t="shared" si="29"/>
        <v>0.38573508005822416</v>
      </c>
      <c r="J35" s="21">
        <f t="shared" si="29"/>
        <v>0.38573508005822416</v>
      </c>
    </row>
    <row r="36" spans="2:10" x14ac:dyDescent="0.2">
      <c r="B36" s="6" t="s">
        <v>61</v>
      </c>
      <c r="C36" s="2"/>
      <c r="D36" s="2"/>
      <c r="E36" s="2"/>
      <c r="F36" s="34">
        <v>0.03</v>
      </c>
      <c r="G36" s="34">
        <v>0.03</v>
      </c>
      <c r="H36" s="34">
        <v>0.03</v>
      </c>
      <c r="I36" s="34">
        <v>0.03</v>
      </c>
      <c r="J36" s="34">
        <v>0.03</v>
      </c>
    </row>
    <row r="37" spans="2:10" x14ac:dyDescent="0.2">
      <c r="B37" s="6" t="s">
        <v>62</v>
      </c>
      <c r="C37" s="2"/>
      <c r="D37" s="2"/>
      <c r="E37" s="2"/>
      <c r="F37" s="34">
        <v>4.2000000000000003E-2</v>
      </c>
      <c r="G37" s="34">
        <v>4.2000000000000003E-2</v>
      </c>
      <c r="H37" s="34">
        <v>4.2000000000000003E-2</v>
      </c>
      <c r="I37" s="34">
        <v>4.2000000000000003E-2</v>
      </c>
      <c r="J37" s="34">
        <v>4.2000000000000003E-2</v>
      </c>
    </row>
    <row r="38" spans="2:10" x14ac:dyDescent="0.2">
      <c r="B38" s="6" t="s">
        <v>103</v>
      </c>
      <c r="C38" s="9">
        <v>3395</v>
      </c>
      <c r="D38" s="9">
        <v>3514</v>
      </c>
      <c r="E38" s="9">
        <v>5811</v>
      </c>
      <c r="F38" s="16">
        <v>5000</v>
      </c>
      <c r="G38" s="17">
        <f>F38</f>
        <v>5000</v>
      </c>
      <c r="H38" s="17">
        <f t="shared" ref="H38:J38" si="31">G38</f>
        <v>5000</v>
      </c>
      <c r="I38" s="17">
        <f t="shared" si="31"/>
        <v>5000</v>
      </c>
      <c r="J38" s="17">
        <f t="shared" si="31"/>
        <v>5000</v>
      </c>
    </row>
    <row r="40" spans="2:10" x14ac:dyDescent="0.2">
      <c r="B40" s="132" t="s">
        <v>24</v>
      </c>
      <c r="C40" s="133" t="s">
        <v>16</v>
      </c>
      <c r="D40" s="133"/>
      <c r="E40" s="133"/>
      <c r="F40" s="133" t="s">
        <v>15</v>
      </c>
      <c r="G40" s="133"/>
      <c r="H40" s="133"/>
      <c r="I40" s="133"/>
      <c r="J40" s="133"/>
    </row>
    <row r="41" spans="2:10" x14ac:dyDescent="0.2">
      <c r="B41" s="134" t="s">
        <v>17</v>
      </c>
      <c r="C41" s="135">
        <v>2023</v>
      </c>
      <c r="D41" s="135">
        <v>2024</v>
      </c>
      <c r="E41" s="135">
        <v>2025</v>
      </c>
      <c r="F41" s="135">
        <v>2026</v>
      </c>
      <c r="G41" s="135">
        <v>2027</v>
      </c>
      <c r="H41" s="135">
        <v>2028</v>
      </c>
      <c r="I41" s="135">
        <v>2029</v>
      </c>
      <c r="J41" s="135">
        <v>2030</v>
      </c>
    </row>
    <row r="42" spans="2:10" x14ac:dyDescent="0.2">
      <c r="B42" t="s">
        <v>131</v>
      </c>
      <c r="C42" s="9">
        <v>5135</v>
      </c>
      <c r="D42" s="9">
        <v>5409</v>
      </c>
      <c r="E42" s="9">
        <v>5598</v>
      </c>
      <c r="F42" s="3">
        <f>E42+F133</f>
        <v>7456.249010934398</v>
      </c>
      <c r="G42" s="3">
        <f>F42+G133</f>
        <v>9920.3141472200114</v>
      </c>
      <c r="H42" s="3">
        <f>G42+H133</f>
        <v>12913.386278225838</v>
      </c>
      <c r="I42" s="3">
        <f>H42+I133</f>
        <v>16478.82050497684</v>
      </c>
      <c r="J42" s="3">
        <f>I42+J133</f>
        <v>20662.756003822717</v>
      </c>
    </row>
    <row r="43" spans="2:10" x14ac:dyDescent="0.2">
      <c r="B43" t="s">
        <v>25</v>
      </c>
      <c r="C43" s="9">
        <v>4692</v>
      </c>
      <c r="D43" s="9">
        <v>4276</v>
      </c>
      <c r="E43" s="9">
        <v>4874</v>
      </c>
      <c r="F43" s="3">
        <f>E43*(1+F17)</f>
        <v>5169.0091876613424</v>
      </c>
      <c r="G43" s="3">
        <f>F43*(1+G17)</f>
        <v>5481.874432114766</v>
      </c>
      <c r="H43" s="3">
        <f>G43*(1+H17)</f>
        <v>5813.6765090699691</v>
      </c>
      <c r="I43" s="3">
        <f>H43*(1+I17)</f>
        <v>6165.5616104787832</v>
      </c>
      <c r="J43" s="3">
        <f>I43*(1+J17)</f>
        <v>6538.7453039919765</v>
      </c>
    </row>
    <row r="44" spans="2:10" x14ac:dyDescent="0.2">
      <c r="B44" t="s">
        <v>71</v>
      </c>
      <c r="C44" s="9">
        <v>4456</v>
      </c>
      <c r="D44" s="9">
        <v>4379</v>
      </c>
      <c r="E44" s="9">
        <v>4997</v>
      </c>
      <c r="F44" s="3">
        <f>E44*(1+F17)</f>
        <v>5299.4540235420045</v>
      </c>
      <c r="G44" s="3">
        <f>F44*(1+G17)</f>
        <v>5620.2147183581228</v>
      </c>
      <c r="H44" s="3">
        <f>G44*(1+H17)</f>
        <v>5960.3901345553222</v>
      </c>
      <c r="I44" s="3">
        <f>H44*(1+I17)</f>
        <v>6321.1553893234486</v>
      </c>
      <c r="J44" s="3">
        <f>I44*(1+J17)</f>
        <v>6703.7567263126621</v>
      </c>
    </row>
    <row r="45" spans="2:10" x14ac:dyDescent="0.2">
      <c r="B45" t="s">
        <v>26</v>
      </c>
      <c r="C45" s="9">
        <v>1678</v>
      </c>
      <c r="D45" s="9">
        <v>1607</v>
      </c>
      <c r="E45" s="9">
        <v>2405</v>
      </c>
      <c r="F45" s="3">
        <f>E45*(1+F21)</f>
        <v>2565.0153686202048</v>
      </c>
      <c r="G45" s="3">
        <f>F45*(1+G21)</f>
        <v>2720.2683641547765</v>
      </c>
      <c r="H45" s="3">
        <f>G45*(1+H21)</f>
        <v>2884.9183765327316</v>
      </c>
      <c r="I45" s="3">
        <f>H45*(1+I21)</f>
        <v>3059.5341801294071</v>
      </c>
      <c r="J45" s="3">
        <f>I45*(1+J21)</f>
        <v>3244.7189755955719</v>
      </c>
    </row>
    <row r="46" spans="2:10" x14ac:dyDescent="0.2">
      <c r="B46" t="s">
        <v>72</v>
      </c>
      <c r="C46" s="9">
        <v>702</v>
      </c>
      <c r="D46" s="9">
        <v>880</v>
      </c>
      <c r="E46" s="9">
        <v>1215</v>
      </c>
      <c r="F46" s="3">
        <f>E46*(1+F17)</f>
        <v>1288.5404519919023</v>
      </c>
      <c r="G46" s="3">
        <f t="shared" ref="G46:J46" si="32">F46*(1+G17)</f>
        <v>1366.532095818515</v>
      </c>
      <c r="H46" s="3">
        <f t="shared" si="32"/>
        <v>1449.2443493065273</v>
      </c>
      <c r="I46" s="3">
        <f t="shared" si="32"/>
        <v>1536.9629373680189</v>
      </c>
      <c r="J46" s="3">
        <f t="shared" si="32"/>
        <v>1629.9908790213899</v>
      </c>
    </row>
    <row r="47" spans="2:10" x14ac:dyDescent="0.2">
      <c r="B47" s="10" t="s">
        <v>73</v>
      </c>
      <c r="C47" s="11">
        <v>2352</v>
      </c>
      <c r="D47" s="11">
        <v>1853</v>
      </c>
      <c r="E47" s="11">
        <v>5372</v>
      </c>
      <c r="F47" s="12">
        <f>E47*(1+$F$17)</f>
        <v>5697.1516939098756</v>
      </c>
      <c r="G47" s="12">
        <f t="shared" ref="G47:J47" si="33">F47*(1+$F$17)</f>
        <v>6041.9838837342077</v>
      </c>
      <c r="H47" s="12">
        <f t="shared" si="33"/>
        <v>6407.6877732301764</v>
      </c>
      <c r="I47" s="12">
        <f t="shared" si="33"/>
        <v>6795.5266662888862</v>
      </c>
      <c r="J47" s="12">
        <f t="shared" si="33"/>
        <v>7206.8403309488931</v>
      </c>
    </row>
    <row r="48" spans="2:10" x14ac:dyDescent="0.2">
      <c r="B48" s="14" t="s">
        <v>74</v>
      </c>
      <c r="C48" s="8">
        <f>SUM(C42:C47)</f>
        <v>19015</v>
      </c>
      <c r="D48" s="8">
        <f t="shared" ref="D48:J48" si="34">SUM(D42:D47)</f>
        <v>18404</v>
      </c>
      <c r="E48" s="8">
        <f t="shared" si="34"/>
        <v>24461</v>
      </c>
      <c r="F48" s="8">
        <f t="shared" si="34"/>
        <v>27475.419736659725</v>
      </c>
      <c r="G48" s="8">
        <f t="shared" si="34"/>
        <v>31151.1876414004</v>
      </c>
      <c r="H48" s="8">
        <f t="shared" si="34"/>
        <v>35429.303420920565</v>
      </c>
      <c r="I48" s="8">
        <f t="shared" si="34"/>
        <v>40357.561288565383</v>
      </c>
      <c r="J48" s="8">
        <f t="shared" si="34"/>
        <v>45986.808219693208</v>
      </c>
    </row>
    <row r="49" spans="2:10" x14ac:dyDescent="0.2">
      <c r="C49" s="3"/>
      <c r="D49" s="3"/>
      <c r="E49" s="3"/>
      <c r="F49" s="3"/>
      <c r="G49" s="3"/>
      <c r="H49" s="3"/>
      <c r="I49" s="3"/>
      <c r="J49" s="3"/>
    </row>
    <row r="50" spans="2:10" x14ac:dyDescent="0.2">
      <c r="B50" t="s">
        <v>139</v>
      </c>
      <c r="C50" s="9">
        <v>43702</v>
      </c>
      <c r="D50" s="9">
        <v>41624</v>
      </c>
      <c r="E50" s="9">
        <v>41093</v>
      </c>
      <c r="F50" s="3">
        <f>E50-F25+F24-F26</f>
        <v>39558.961082111011</v>
      </c>
      <c r="G50" s="3">
        <f t="shared" ref="G50:J50" si="35">F50-G25+G24-G26</f>
        <v>37859.438659872219</v>
      </c>
      <c r="H50" s="3">
        <f t="shared" si="35"/>
        <v>35984.416493195487</v>
      </c>
      <c r="I50" s="3">
        <f t="shared" si="35"/>
        <v>33923.272087817088</v>
      </c>
      <c r="J50" s="3">
        <f t="shared" si="35"/>
        <v>31664.740000477876</v>
      </c>
    </row>
    <row r="51" spans="2:10" x14ac:dyDescent="0.2">
      <c r="B51" t="s">
        <v>76</v>
      </c>
      <c r="C51" s="9">
        <v>27135</v>
      </c>
      <c r="D51" s="9">
        <v>25398</v>
      </c>
      <c r="E51" s="9">
        <v>25692</v>
      </c>
      <c r="F51" s="3">
        <f>SUM(F5:F6)*-F31</f>
        <v>27374.498145911904</v>
      </c>
      <c r="G51" s="3">
        <f t="shared" ref="G51:J51" si="36">SUM(G5:G6)*-G31</f>
        <v>29031.397706983382</v>
      </c>
      <c r="H51" s="3">
        <f t="shared" si="36"/>
        <v>30788.584628241195</v>
      </c>
      <c r="I51" s="3">
        <f t="shared" si="36"/>
        <v>32652.129014868176</v>
      </c>
      <c r="J51" s="3">
        <f t="shared" si="36"/>
        <v>34628.468378037978</v>
      </c>
    </row>
    <row r="52" spans="2:10" x14ac:dyDescent="0.2">
      <c r="B52" t="s">
        <v>27</v>
      </c>
      <c r="C52" s="9">
        <v>111559</v>
      </c>
      <c r="D52" s="9">
        <v>116075</v>
      </c>
      <c r="E52" s="9">
        <v>115553</v>
      </c>
      <c r="F52" s="3">
        <f>E52-F29+F28</f>
        <v>117242.41970372273</v>
      </c>
      <c r="G52" s="3">
        <f>F52-G29+G28</f>
        <v>119034.09511824034</v>
      </c>
      <c r="H52" s="3">
        <f>G52-H29+H28</f>
        <v>120934.21548733112</v>
      </c>
      <c r="I52" s="3">
        <f>H52-I29+I28</f>
        <v>122949.3446718803</v>
      </c>
      <c r="J52" s="3">
        <f>I52-J29+J28</f>
        <v>125086.443824375</v>
      </c>
    </row>
    <row r="53" spans="2:10" x14ac:dyDescent="0.2">
      <c r="B53" s="10" t="s">
        <v>75</v>
      </c>
      <c r="C53" s="11">
        <v>6271</v>
      </c>
      <c r="D53" s="11">
        <v>6534</v>
      </c>
      <c r="E53" s="11">
        <v>12438</v>
      </c>
      <c r="F53" s="12">
        <f>F4*F34</f>
        <v>13190.836330761547</v>
      </c>
      <c r="G53" s="12">
        <f t="shared" ref="G53:J53" si="37">G4*G34</f>
        <v>13989.239677193984</v>
      </c>
      <c r="H53" s="12">
        <f t="shared" si="37"/>
        <v>14835.968079567561</v>
      </c>
      <c r="I53" s="12">
        <f t="shared" si="37"/>
        <v>15733.946514389645</v>
      </c>
      <c r="J53" s="12">
        <f t="shared" si="37"/>
        <v>16686.276998574525</v>
      </c>
    </row>
    <row r="54" spans="2:10" x14ac:dyDescent="0.2">
      <c r="B54" s="14" t="s">
        <v>80</v>
      </c>
      <c r="C54" s="8">
        <f>SUM(C50:C53)</f>
        <v>188667</v>
      </c>
      <c r="D54" s="8">
        <f t="shared" ref="D54:J54" si="38">SUM(D50:D53)</f>
        <v>189631</v>
      </c>
      <c r="E54" s="8">
        <f t="shared" si="38"/>
        <v>194776</v>
      </c>
      <c r="F54" s="8">
        <f t="shared" si="38"/>
        <v>197366.7152625072</v>
      </c>
      <c r="G54" s="8">
        <f t="shared" si="38"/>
        <v>199914.17116228992</v>
      </c>
      <c r="H54" s="8">
        <f t="shared" si="38"/>
        <v>202543.18468833537</v>
      </c>
      <c r="I54" s="8">
        <f t="shared" si="38"/>
        <v>205258.69228895521</v>
      </c>
      <c r="J54" s="8">
        <f t="shared" si="38"/>
        <v>208065.92920146536</v>
      </c>
    </row>
    <row r="55" spans="2:10" x14ac:dyDescent="0.2">
      <c r="B55" s="5"/>
      <c r="C55" s="8"/>
      <c r="D55" s="8"/>
      <c r="E55" s="8"/>
      <c r="F55" s="8"/>
      <c r="G55" s="8"/>
      <c r="H55" s="8"/>
      <c r="I55" s="8"/>
      <c r="J55" s="8"/>
    </row>
    <row r="56" spans="2:10" x14ac:dyDescent="0.2">
      <c r="B56" s="5" t="s">
        <v>28</v>
      </c>
      <c r="C56" s="8">
        <f>SUM(C54,C48)</f>
        <v>207682</v>
      </c>
      <c r="D56" s="8">
        <f t="shared" ref="D56:J56" si="39">SUM(D54,D48)</f>
        <v>208035</v>
      </c>
      <c r="E56" s="8">
        <f t="shared" si="39"/>
        <v>219237</v>
      </c>
      <c r="F56" s="8">
        <f t="shared" si="39"/>
        <v>224842.13499916694</v>
      </c>
      <c r="G56" s="8">
        <f t="shared" si="39"/>
        <v>231065.35880369032</v>
      </c>
      <c r="H56" s="8">
        <f t="shared" si="39"/>
        <v>237972.48810925594</v>
      </c>
      <c r="I56" s="8">
        <f t="shared" si="39"/>
        <v>245616.25357752061</v>
      </c>
      <c r="J56" s="8">
        <f t="shared" si="39"/>
        <v>254052.73742115858</v>
      </c>
    </row>
    <row r="58" spans="2:10" x14ac:dyDescent="0.2">
      <c r="B58" t="s">
        <v>81</v>
      </c>
      <c r="C58" s="9">
        <v>10373</v>
      </c>
      <c r="D58" s="9">
        <v>8463</v>
      </c>
      <c r="E58" s="9">
        <v>10280</v>
      </c>
      <c r="F58" s="3">
        <f>E58*(1+F17)</f>
        <v>10902.218803684571</v>
      </c>
      <c r="G58" s="3">
        <f t="shared" ref="G58:J58" si="40">F58*(1+G17)</f>
        <v>11562.098720176406</v>
      </c>
      <c r="H58" s="3">
        <f t="shared" si="40"/>
        <v>12261.919268206666</v>
      </c>
      <c r="I58" s="3">
        <f t="shared" si="40"/>
        <v>13004.097939212535</v>
      </c>
      <c r="J58" s="3">
        <f t="shared" si="40"/>
        <v>13791.198548427888</v>
      </c>
    </row>
    <row r="59" spans="2:10" x14ac:dyDescent="0.2">
      <c r="B59" t="s">
        <v>82</v>
      </c>
      <c r="C59" s="9">
        <v>4879</v>
      </c>
      <c r="D59" s="9">
        <v>5243</v>
      </c>
      <c r="E59" s="9">
        <v>6298</v>
      </c>
      <c r="F59" s="3">
        <f>E59</f>
        <v>6298</v>
      </c>
      <c r="G59" s="3">
        <f t="shared" ref="G59:J59" si="41">F59</f>
        <v>6298</v>
      </c>
      <c r="H59" s="3">
        <f t="shared" si="41"/>
        <v>6298</v>
      </c>
      <c r="I59" s="3">
        <f t="shared" si="41"/>
        <v>6298</v>
      </c>
      <c r="J59" s="3">
        <f t="shared" si="41"/>
        <v>6298</v>
      </c>
    </row>
    <row r="60" spans="2:10" x14ac:dyDescent="0.2">
      <c r="B60" t="s">
        <v>83</v>
      </c>
      <c r="C60" s="9">
        <v>825</v>
      </c>
      <c r="D60" s="9">
        <v>1222</v>
      </c>
      <c r="E60" s="9">
        <v>1533</v>
      </c>
      <c r="F60" s="3">
        <f>E60*(1+F17)</f>
        <v>1625.7880764638569</v>
      </c>
      <c r="G60" s="3">
        <f t="shared" ref="G60:J60" si="42">F60*(1+G17)</f>
        <v>1724.1923480574349</v>
      </c>
      <c r="H60" s="3">
        <f t="shared" si="42"/>
        <v>1828.5527469028034</v>
      </c>
      <c r="I60" s="3">
        <f t="shared" si="42"/>
        <v>1939.22978023471</v>
      </c>
      <c r="J60" s="3">
        <f t="shared" si="42"/>
        <v>2056.6057757529138</v>
      </c>
    </row>
    <row r="61" spans="2:10" x14ac:dyDescent="0.2">
      <c r="B61" t="s">
        <v>84</v>
      </c>
      <c r="C61" s="9">
        <v>3555</v>
      </c>
      <c r="D61" s="9">
        <v>3281</v>
      </c>
      <c r="E61" s="9">
        <v>3814</v>
      </c>
      <c r="F61" s="3">
        <f>E61*(1+F17)</f>
        <v>4044.8504394214938</v>
      </c>
      <c r="G61" s="3">
        <f t="shared" ref="G61:J61" si="43">F61*(1+G17)</f>
        <v>4289.6735913183666</v>
      </c>
      <c r="H61" s="3">
        <f t="shared" si="43"/>
        <v>4549.3151837490486</v>
      </c>
      <c r="I61" s="3">
        <f t="shared" si="43"/>
        <v>4824.6721342564797</v>
      </c>
      <c r="J61" s="3">
        <f t="shared" si="43"/>
        <v>5116.6956482202304</v>
      </c>
    </row>
    <row r="62" spans="2:10" x14ac:dyDescent="0.2">
      <c r="B62" s="10" t="s">
        <v>32</v>
      </c>
      <c r="C62" s="11">
        <v>1296</v>
      </c>
      <c r="D62" s="11">
        <v>1965</v>
      </c>
      <c r="E62" s="11">
        <v>2575</v>
      </c>
      <c r="F62" s="12">
        <f t="shared" ref="F62:J62" si="44">E62*(1+F21)</f>
        <v>2746.3262262773501</v>
      </c>
      <c r="G62" s="12">
        <f t="shared" si="44"/>
        <v>2912.553446028503</v>
      </c>
      <c r="H62" s="12">
        <f t="shared" si="44"/>
        <v>3088.8419208198684</v>
      </c>
      <c r="I62" s="12">
        <f t="shared" si="44"/>
        <v>3275.8006294524839</v>
      </c>
      <c r="J62" s="12">
        <f t="shared" si="44"/>
        <v>3474.0754104609559</v>
      </c>
    </row>
    <row r="63" spans="2:10" x14ac:dyDescent="0.2">
      <c r="B63" s="14" t="s">
        <v>85</v>
      </c>
      <c r="C63" s="8">
        <f>SUM(C58:C62)</f>
        <v>20928</v>
      </c>
      <c r="D63" s="8">
        <f t="shared" ref="D63:E63" si="45">SUM(D58:D62)</f>
        <v>20174</v>
      </c>
      <c r="E63" s="8">
        <f t="shared" si="45"/>
        <v>24500</v>
      </c>
      <c r="F63" s="8">
        <f t="shared" ref="F63" si="46">SUM(F58:F62)</f>
        <v>25617.183545847271</v>
      </c>
      <c r="G63" s="8">
        <f t="shared" ref="G63" si="47">SUM(G58:G62)</f>
        <v>26786.518105580708</v>
      </c>
      <c r="H63" s="8">
        <f t="shared" ref="H63" si="48">SUM(H58:H62)</f>
        <v>28026.629119678382</v>
      </c>
      <c r="I63" s="8">
        <f t="shared" ref="I63" si="49">SUM(I58:I62)</f>
        <v>29341.800483156207</v>
      </c>
      <c r="J63" s="8">
        <f t="shared" ref="J63" si="50">SUM(J58:J62)</f>
        <v>30736.575382861985</v>
      </c>
    </row>
    <row r="64" spans="2:10" x14ac:dyDescent="0.2">
      <c r="C64" s="3"/>
      <c r="D64" s="3"/>
      <c r="E64" s="3"/>
      <c r="F64" s="3"/>
      <c r="G64" s="3"/>
      <c r="H64" s="3"/>
      <c r="I64" s="3"/>
      <c r="J64" s="3"/>
    </row>
    <row r="65" spans="2:10" x14ac:dyDescent="0.2">
      <c r="B65" t="s">
        <v>33</v>
      </c>
      <c r="C65" s="9">
        <v>0</v>
      </c>
      <c r="D65" s="9">
        <v>0</v>
      </c>
      <c r="E65" s="9">
        <v>0</v>
      </c>
      <c r="F65" s="3">
        <f>E65+F136</f>
        <v>0</v>
      </c>
      <c r="G65" s="3">
        <f>F65+G136</f>
        <v>0</v>
      </c>
      <c r="H65" s="3">
        <f>G65+H136</f>
        <v>0</v>
      </c>
      <c r="I65" s="3">
        <f>H65+I136</f>
        <v>0</v>
      </c>
      <c r="J65" s="3">
        <f>I65+J136</f>
        <v>0</v>
      </c>
    </row>
    <row r="66" spans="2:10" x14ac:dyDescent="0.2">
      <c r="B66" t="s">
        <v>34</v>
      </c>
      <c r="C66" s="9">
        <v>72635</v>
      </c>
      <c r="D66" s="9">
        <v>75348</v>
      </c>
      <c r="E66" s="9">
        <v>82254</v>
      </c>
      <c r="F66" s="3">
        <f>E66+F38</f>
        <v>87254</v>
      </c>
      <c r="G66" s="3">
        <f t="shared" ref="G66:J66" si="51">F66+G38</f>
        <v>92254</v>
      </c>
      <c r="H66" s="3">
        <f t="shared" si="51"/>
        <v>97254</v>
      </c>
      <c r="I66" s="3">
        <f t="shared" si="51"/>
        <v>102254</v>
      </c>
      <c r="J66" s="3">
        <f t="shared" si="51"/>
        <v>107254</v>
      </c>
    </row>
    <row r="67" spans="2:10" x14ac:dyDescent="0.2">
      <c r="B67" t="s">
        <v>86</v>
      </c>
      <c r="C67" s="9">
        <v>3777</v>
      </c>
      <c r="D67" s="9">
        <v>3664</v>
      </c>
      <c r="E67" s="9">
        <v>3532</v>
      </c>
      <c r="F67" s="3">
        <f>E67</f>
        <v>3532</v>
      </c>
      <c r="G67" s="3">
        <f t="shared" ref="G67:J67" si="52">F67</f>
        <v>3532</v>
      </c>
      <c r="H67" s="3">
        <f t="shared" si="52"/>
        <v>3532</v>
      </c>
      <c r="I67" s="3">
        <f t="shared" si="52"/>
        <v>3532</v>
      </c>
      <c r="J67" s="3">
        <f t="shared" si="52"/>
        <v>3532</v>
      </c>
    </row>
    <row r="68" spans="2:10" x14ac:dyDescent="0.2">
      <c r="B68" t="s">
        <v>87</v>
      </c>
      <c r="C68" s="9">
        <v>13458</v>
      </c>
      <c r="D68" s="9">
        <v>16700</v>
      </c>
      <c r="E68" s="9">
        <v>19583</v>
      </c>
      <c r="F68" s="3">
        <f t="shared" ref="F68:J68" si="53">E68</f>
        <v>19583</v>
      </c>
      <c r="G68" s="3">
        <f t="shared" si="53"/>
        <v>19583</v>
      </c>
      <c r="H68" s="3">
        <f t="shared" si="53"/>
        <v>19583</v>
      </c>
      <c r="I68" s="3">
        <f t="shared" si="53"/>
        <v>19583</v>
      </c>
      <c r="J68" s="3">
        <f t="shared" si="53"/>
        <v>19583</v>
      </c>
    </row>
    <row r="69" spans="2:10" x14ac:dyDescent="0.2">
      <c r="B69" t="s">
        <v>88</v>
      </c>
      <c r="C69" s="9">
        <v>28240</v>
      </c>
      <c r="D69" s="9">
        <v>26408</v>
      </c>
      <c r="E69" s="9">
        <v>26371</v>
      </c>
      <c r="F69" s="3">
        <f>E69*(1+F17)</f>
        <v>27967.160707389674</v>
      </c>
      <c r="G69" s="3">
        <f t="shared" ref="G69:J69" si="54">F69*(1+G17)</f>
        <v>29659.932427020623</v>
      </c>
      <c r="H69" s="3">
        <f t="shared" si="54"/>
        <v>31455.162745318874</v>
      </c>
      <c r="I69" s="3">
        <f t="shared" si="54"/>
        <v>33359.053186281504</v>
      </c>
      <c r="J69" s="3">
        <f t="shared" si="54"/>
        <v>35378.180634298827</v>
      </c>
    </row>
    <row r="70" spans="2:10" x14ac:dyDescent="0.2">
      <c r="B70" s="10" t="s">
        <v>92</v>
      </c>
      <c r="C70" s="11">
        <v>3929</v>
      </c>
      <c r="D70" s="11">
        <v>4000</v>
      </c>
      <c r="E70" s="11">
        <v>3794</v>
      </c>
      <c r="F70" s="12">
        <f>E70</f>
        <v>3794</v>
      </c>
      <c r="G70" s="12">
        <f t="shared" ref="G70:J70" si="55">F70</f>
        <v>3794</v>
      </c>
      <c r="H70" s="12">
        <f t="shared" si="55"/>
        <v>3794</v>
      </c>
      <c r="I70" s="12">
        <f t="shared" si="55"/>
        <v>3794</v>
      </c>
      <c r="J70" s="12">
        <f t="shared" si="55"/>
        <v>3794</v>
      </c>
    </row>
    <row r="71" spans="2:10" x14ac:dyDescent="0.2">
      <c r="B71" s="14" t="s">
        <v>89</v>
      </c>
      <c r="C71" s="8">
        <f>SUM(C65:C70)</f>
        <v>122039</v>
      </c>
      <c r="D71" s="8">
        <f>SUM(D65:D70)</f>
        <v>126120</v>
      </c>
      <c r="E71" s="8">
        <f>SUM(E65:E70)</f>
        <v>135534</v>
      </c>
      <c r="F71" s="8">
        <f>SUM(F65:F70)</f>
        <v>142130.16070738967</v>
      </c>
      <c r="G71" s="8">
        <f t="shared" ref="G71:J71" si="56">SUM(G65:G70)</f>
        <v>148822.93242702063</v>
      </c>
      <c r="H71" s="8">
        <f t="shared" si="56"/>
        <v>155618.16274531887</v>
      </c>
      <c r="I71" s="8">
        <f t="shared" si="56"/>
        <v>162522.0531862815</v>
      </c>
      <c r="J71" s="8">
        <f t="shared" si="56"/>
        <v>169541.18063429883</v>
      </c>
    </row>
    <row r="72" spans="2:10" x14ac:dyDescent="0.2">
      <c r="C72" s="3"/>
      <c r="D72" s="3"/>
      <c r="E72" s="3"/>
      <c r="F72" s="3"/>
      <c r="G72" s="3"/>
      <c r="H72" s="3"/>
      <c r="I72" s="3"/>
      <c r="J72" s="3"/>
    </row>
    <row r="73" spans="2:10" x14ac:dyDescent="0.2">
      <c r="B73" t="s">
        <v>90</v>
      </c>
      <c r="C73" s="9">
        <v>67705</v>
      </c>
      <c r="D73" s="9">
        <v>68798</v>
      </c>
      <c r="E73" s="9">
        <v>69460</v>
      </c>
      <c r="F73" s="3">
        <f>F87</f>
        <v>70043.333333333343</v>
      </c>
      <c r="G73" s="3">
        <f t="shared" ref="G73:J73" si="57">G87</f>
        <v>70626.666666666686</v>
      </c>
      <c r="H73" s="3">
        <f t="shared" si="57"/>
        <v>71210.000000000029</v>
      </c>
      <c r="I73" s="3">
        <f t="shared" si="57"/>
        <v>71793.333333333372</v>
      </c>
      <c r="J73" s="3">
        <f t="shared" si="57"/>
        <v>72376.666666666715</v>
      </c>
    </row>
    <row r="74" spans="2:10" x14ac:dyDescent="0.2">
      <c r="B74" t="s">
        <v>36</v>
      </c>
      <c r="C74" s="9">
        <v>-9373</v>
      </c>
      <c r="D74" s="9">
        <v>-20584</v>
      </c>
      <c r="E74" s="9">
        <v>-30545</v>
      </c>
      <c r="F74" s="3">
        <f>F91</f>
        <v>-40519</v>
      </c>
      <c r="G74" s="3">
        <f t="shared" ref="G74:J74" si="58">G91</f>
        <v>-50493</v>
      </c>
      <c r="H74" s="3">
        <f t="shared" si="58"/>
        <v>-60467</v>
      </c>
      <c r="I74" s="3">
        <f t="shared" si="58"/>
        <v>-70441</v>
      </c>
      <c r="J74" s="3">
        <f t="shared" si="58"/>
        <v>-80415</v>
      </c>
    </row>
    <row r="75" spans="2:10" x14ac:dyDescent="0.2">
      <c r="B75" t="s">
        <v>91</v>
      </c>
      <c r="C75" s="9">
        <v>-964</v>
      </c>
      <c r="D75" s="9">
        <v>-857</v>
      </c>
      <c r="E75" s="9">
        <v>-848</v>
      </c>
      <c r="F75" s="3">
        <f>E75</f>
        <v>-848</v>
      </c>
      <c r="G75" s="3">
        <f t="shared" ref="G75:J75" si="59">F75</f>
        <v>-848</v>
      </c>
      <c r="H75" s="3">
        <f t="shared" si="59"/>
        <v>-848</v>
      </c>
      <c r="I75" s="3">
        <f t="shared" si="59"/>
        <v>-848</v>
      </c>
      <c r="J75" s="3">
        <f t="shared" si="59"/>
        <v>-848</v>
      </c>
    </row>
    <row r="76" spans="2:10" x14ac:dyDescent="0.2">
      <c r="B76" s="10" t="s">
        <v>38</v>
      </c>
      <c r="C76" s="11">
        <v>7347</v>
      </c>
      <c r="D76" s="11">
        <v>14384</v>
      </c>
      <c r="E76" s="11">
        <v>21136</v>
      </c>
      <c r="F76" s="12">
        <f>F96</f>
        <v>28418.457412596625</v>
      </c>
      <c r="G76" s="12">
        <f t="shared" ref="G76:J76" si="60">G96</f>
        <v>36170.241604422306</v>
      </c>
      <c r="H76" s="12">
        <f t="shared" si="60"/>
        <v>44432.696244258652</v>
      </c>
      <c r="I76" s="12">
        <f t="shared" si="60"/>
        <v>53248.06657474953</v>
      </c>
      <c r="J76" s="12">
        <f t="shared" si="60"/>
        <v>62661.314737331122</v>
      </c>
    </row>
    <row r="77" spans="2:10" x14ac:dyDescent="0.2">
      <c r="B77" s="14" t="s">
        <v>39</v>
      </c>
      <c r="C77" s="8">
        <f>SUM(C73:C76)</f>
        <v>64715</v>
      </c>
      <c r="D77" s="8">
        <f t="shared" ref="D77:E77" si="61">SUM(D73:D76)</f>
        <v>61741</v>
      </c>
      <c r="E77" s="8">
        <f t="shared" si="61"/>
        <v>59203</v>
      </c>
      <c r="F77" s="8">
        <f t="shared" ref="F77" si="62">SUM(F73:F76)</f>
        <v>57094.790745929968</v>
      </c>
      <c r="G77" s="8">
        <f t="shared" ref="G77" si="63">SUM(G73:G76)</f>
        <v>55455.908271088992</v>
      </c>
      <c r="H77" s="8">
        <f t="shared" ref="H77" si="64">SUM(H73:H76)</f>
        <v>54327.696244258681</v>
      </c>
      <c r="I77" s="8">
        <f t="shared" ref="I77" si="65">SUM(I73:I76)</f>
        <v>53752.399908082902</v>
      </c>
      <c r="J77" s="8">
        <f t="shared" ref="J77" si="66">SUM(J73:J76)</f>
        <v>53774.981403997837</v>
      </c>
    </row>
    <row r="78" spans="2:10" x14ac:dyDescent="0.2">
      <c r="C78" s="3"/>
      <c r="D78" s="3"/>
      <c r="E78" s="3"/>
      <c r="F78" s="3"/>
      <c r="G78" s="3"/>
      <c r="H78" s="3"/>
      <c r="I78" s="3"/>
      <c r="J78" s="3"/>
    </row>
    <row r="79" spans="2:10" x14ac:dyDescent="0.2">
      <c r="B79" s="5" t="s">
        <v>140</v>
      </c>
      <c r="C79" s="8">
        <f>SUM(C77,C71,C63,)</f>
        <v>207682</v>
      </c>
      <c r="D79" s="8">
        <f t="shared" ref="D79:J79" si="67">SUM(D77,D71,D63,)</f>
        <v>208035</v>
      </c>
      <c r="E79" s="8">
        <f t="shared" si="67"/>
        <v>219237</v>
      </c>
      <c r="F79" s="8">
        <f t="shared" si="67"/>
        <v>224842.13499916691</v>
      </c>
      <c r="G79" s="8">
        <f t="shared" si="67"/>
        <v>231065.35880369032</v>
      </c>
      <c r="H79" s="8">
        <f t="shared" si="67"/>
        <v>237972.48810925594</v>
      </c>
      <c r="I79" s="8">
        <f t="shared" si="67"/>
        <v>245616.25357752061</v>
      </c>
      <c r="J79" s="8">
        <f t="shared" si="67"/>
        <v>254052.73742115864</v>
      </c>
    </row>
    <row r="80" spans="2:10" x14ac:dyDescent="0.2">
      <c r="B80" s="7" t="s">
        <v>40</v>
      </c>
      <c r="C80" s="15">
        <f>C56-C79</f>
        <v>0</v>
      </c>
      <c r="D80" s="15">
        <f t="shared" ref="D80:J80" si="68">D56-D79</f>
        <v>0</v>
      </c>
      <c r="E80" s="15">
        <f t="shared" si="68"/>
        <v>0</v>
      </c>
      <c r="F80" s="15">
        <f t="shared" si="68"/>
        <v>0</v>
      </c>
      <c r="G80" s="15">
        <f t="shared" si="68"/>
        <v>0</v>
      </c>
      <c r="H80" s="15">
        <f t="shared" si="68"/>
        <v>0</v>
      </c>
      <c r="I80" s="15">
        <f t="shared" si="68"/>
        <v>0</v>
      </c>
      <c r="J80" s="15">
        <f t="shared" si="68"/>
        <v>0</v>
      </c>
    </row>
    <row r="82" spans="2:10" x14ac:dyDescent="0.2">
      <c r="B82" s="132" t="s">
        <v>49</v>
      </c>
      <c r="C82" s="132"/>
      <c r="D82" s="132"/>
      <c r="E82" s="132"/>
      <c r="F82" s="132"/>
      <c r="G82" s="132"/>
      <c r="H82" s="132"/>
      <c r="I82" s="132"/>
      <c r="J82" s="132"/>
    </row>
    <row r="83" spans="2:10" x14ac:dyDescent="0.2">
      <c r="B83" t="s">
        <v>41</v>
      </c>
      <c r="C83" s="3"/>
      <c r="D83" s="3"/>
      <c r="E83" s="3"/>
      <c r="F83" s="3">
        <f>E73</f>
        <v>69460</v>
      </c>
      <c r="G83" s="3">
        <f>F87</f>
        <v>70043.333333333343</v>
      </c>
      <c r="H83" s="3">
        <f t="shared" ref="H83:J83" si="69">G87</f>
        <v>70626.666666666686</v>
      </c>
      <c r="I83" s="3">
        <f t="shared" si="69"/>
        <v>71210.000000000029</v>
      </c>
      <c r="J83" s="3">
        <f t="shared" si="69"/>
        <v>71793.333333333372</v>
      </c>
    </row>
    <row r="84" spans="2:10" x14ac:dyDescent="0.2">
      <c r="B84" t="s">
        <v>93</v>
      </c>
      <c r="C84" s="9">
        <v>687</v>
      </c>
      <c r="D84" s="9">
        <v>619</v>
      </c>
      <c r="E84" s="9">
        <v>829</v>
      </c>
      <c r="F84" s="4">
        <f>AVERAGE(C84:E84)</f>
        <v>711.66666666666663</v>
      </c>
      <c r="G84" s="3">
        <f>F84</f>
        <v>711.66666666666663</v>
      </c>
      <c r="H84" s="3">
        <f t="shared" ref="H84:J86" si="70">G84</f>
        <v>711.66666666666663</v>
      </c>
      <c r="I84" s="3">
        <f t="shared" si="70"/>
        <v>711.66666666666663</v>
      </c>
      <c r="J84" s="3">
        <f t="shared" si="70"/>
        <v>711.66666666666663</v>
      </c>
    </row>
    <row r="85" spans="2:10" x14ac:dyDescent="0.2">
      <c r="B85" t="s">
        <v>94</v>
      </c>
      <c r="C85" s="9">
        <v>210</v>
      </c>
      <c r="D85" s="9">
        <v>191</v>
      </c>
      <c r="E85" s="9">
        <v>214</v>
      </c>
      <c r="F85" s="4">
        <f>AVERAGE(C85:E85)</f>
        <v>205</v>
      </c>
      <c r="G85" s="3">
        <f>F85</f>
        <v>205</v>
      </c>
      <c r="H85" s="3">
        <f t="shared" si="70"/>
        <v>205</v>
      </c>
      <c r="I85" s="3">
        <f t="shared" si="70"/>
        <v>205</v>
      </c>
      <c r="J85" s="3">
        <f t="shared" si="70"/>
        <v>205</v>
      </c>
    </row>
    <row r="86" spans="2:10" x14ac:dyDescent="0.2">
      <c r="B86" s="44" t="s">
        <v>142</v>
      </c>
      <c r="C86" s="45">
        <v>-297</v>
      </c>
      <c r="D86" s="45">
        <v>-269</v>
      </c>
      <c r="E86" s="45">
        <v>-434</v>
      </c>
      <c r="F86" s="46">
        <f>AVERAGE(C86:E86)</f>
        <v>-333.33333333333331</v>
      </c>
      <c r="G86" s="47">
        <f>F86</f>
        <v>-333.33333333333331</v>
      </c>
      <c r="H86" s="47">
        <f t="shared" si="70"/>
        <v>-333.33333333333331</v>
      </c>
      <c r="I86" s="47">
        <f t="shared" si="70"/>
        <v>-333.33333333333331</v>
      </c>
      <c r="J86" s="47">
        <f t="shared" si="70"/>
        <v>-333.33333333333331</v>
      </c>
    </row>
    <row r="87" spans="2:10" x14ac:dyDescent="0.2">
      <c r="B87" s="5" t="s">
        <v>42</v>
      </c>
      <c r="C87" s="3"/>
      <c r="D87" s="3"/>
      <c r="E87" s="3"/>
      <c r="F87" s="3">
        <f>SUM(F83:F86)</f>
        <v>70043.333333333343</v>
      </c>
      <c r="G87" s="3">
        <f t="shared" ref="G87:J87" si="71">SUM(G83:G86)</f>
        <v>70626.666666666686</v>
      </c>
      <c r="H87" s="3">
        <f t="shared" si="71"/>
        <v>71210.000000000029</v>
      </c>
      <c r="I87" s="3">
        <f t="shared" si="71"/>
        <v>71793.333333333372</v>
      </c>
      <c r="J87" s="3">
        <f t="shared" si="71"/>
        <v>72376.666666666715</v>
      </c>
    </row>
    <row r="88" spans="2:10" x14ac:dyDescent="0.2">
      <c r="C88" s="3"/>
      <c r="D88" s="3"/>
      <c r="E88" s="3"/>
      <c r="F88" s="3"/>
      <c r="G88" s="3"/>
      <c r="H88" s="3"/>
      <c r="I88" s="3"/>
      <c r="J88" s="3"/>
    </row>
    <row r="89" spans="2:10" x14ac:dyDescent="0.2">
      <c r="B89" t="s">
        <v>43</v>
      </c>
      <c r="C89" s="3"/>
      <c r="D89" s="3">
        <f>C74</f>
        <v>-9373</v>
      </c>
      <c r="E89" s="3">
        <f>D74</f>
        <v>-20584</v>
      </c>
      <c r="F89" s="3">
        <f>E74</f>
        <v>-30545</v>
      </c>
      <c r="G89" s="3">
        <f t="shared" ref="G89:J89" si="72">F91</f>
        <v>-40519</v>
      </c>
      <c r="H89" s="3">
        <f t="shared" si="72"/>
        <v>-50493</v>
      </c>
      <c r="I89" s="3">
        <f t="shared" si="72"/>
        <v>-60467</v>
      </c>
      <c r="J89" s="3">
        <f t="shared" si="72"/>
        <v>-70441</v>
      </c>
    </row>
    <row r="90" spans="2:10" x14ac:dyDescent="0.2">
      <c r="B90" t="s">
        <v>44</v>
      </c>
      <c r="C90" s="3"/>
      <c r="D90" s="9">
        <v>-11228</v>
      </c>
      <c r="E90" s="9">
        <v>-9974</v>
      </c>
      <c r="F90" s="3">
        <f>E90</f>
        <v>-9974</v>
      </c>
      <c r="G90" s="3">
        <f>F90</f>
        <v>-9974</v>
      </c>
      <c r="H90" s="3">
        <f t="shared" ref="H90:J90" si="73">G90</f>
        <v>-9974</v>
      </c>
      <c r="I90" s="3">
        <f t="shared" si="73"/>
        <v>-9974</v>
      </c>
      <c r="J90" s="3">
        <f t="shared" si="73"/>
        <v>-9974</v>
      </c>
    </row>
    <row r="91" spans="2:10" x14ac:dyDescent="0.2">
      <c r="B91" s="48" t="s">
        <v>45</v>
      </c>
      <c r="C91" s="47"/>
      <c r="D91" s="47">
        <f t="shared" ref="D91:E91" si="74">SUM(D89:D90)</f>
        <v>-20601</v>
      </c>
      <c r="E91" s="47">
        <f t="shared" si="74"/>
        <v>-30558</v>
      </c>
      <c r="F91" s="47">
        <f t="shared" ref="F91" si="75">SUM(F89:F90)</f>
        <v>-40519</v>
      </c>
      <c r="G91" s="47">
        <f t="shared" ref="G91" si="76">SUM(G89:G90)</f>
        <v>-50493</v>
      </c>
      <c r="H91" s="47">
        <f t="shared" ref="H91" si="77">SUM(H89:H90)</f>
        <v>-60467</v>
      </c>
      <c r="I91" s="47">
        <f t="shared" ref="I91" si="78">SUM(I89:I90)</f>
        <v>-70441</v>
      </c>
      <c r="J91" s="47">
        <f t="shared" ref="J91" si="79">SUM(J89:J90)</f>
        <v>-80415</v>
      </c>
    </row>
    <row r="92" spans="2:10" x14ac:dyDescent="0.2">
      <c r="C92" s="3"/>
      <c r="D92" s="3"/>
      <c r="E92" s="3"/>
      <c r="F92" s="3"/>
      <c r="G92" s="3"/>
      <c r="H92" s="3"/>
      <c r="I92" s="3"/>
      <c r="J92" s="3"/>
    </row>
    <row r="93" spans="2:10" x14ac:dyDescent="0.2">
      <c r="B93" t="s">
        <v>46</v>
      </c>
      <c r="C93" s="3"/>
      <c r="D93" s="3"/>
      <c r="E93" s="3"/>
      <c r="F93" s="3">
        <f>E76</f>
        <v>21136</v>
      </c>
      <c r="G93" s="3">
        <f>F96</f>
        <v>28418.457412596625</v>
      </c>
      <c r="H93" s="3">
        <f t="shared" ref="H93:J93" si="80">G96</f>
        <v>36170.241604422306</v>
      </c>
      <c r="I93" s="3">
        <f t="shared" si="80"/>
        <v>44432.696244258652</v>
      </c>
      <c r="J93" s="3">
        <f t="shared" si="80"/>
        <v>53248.06657474953</v>
      </c>
    </row>
    <row r="94" spans="2:10" x14ac:dyDescent="0.2">
      <c r="B94" t="s">
        <v>19</v>
      </c>
      <c r="C94" s="3"/>
      <c r="D94" s="3"/>
      <c r="E94" s="3"/>
      <c r="F94" s="3">
        <f>F14</f>
        <v>11855.564555577923</v>
      </c>
      <c r="G94" s="3">
        <f t="shared" ref="G94:J94" si="81">G14</f>
        <v>12619.610757782568</v>
      </c>
      <c r="H94" s="3">
        <f t="shared" si="81"/>
        <v>13450.9628852312</v>
      </c>
      <c r="I94" s="3">
        <f t="shared" si="81"/>
        <v>14351.088665988707</v>
      </c>
      <c r="J94" s="3">
        <f t="shared" si="81"/>
        <v>15324.41110827856</v>
      </c>
    </row>
    <row r="95" spans="2:10" x14ac:dyDescent="0.2">
      <c r="B95" s="44" t="s">
        <v>47</v>
      </c>
      <c r="C95" s="45">
        <v>-747</v>
      </c>
      <c r="D95" s="45">
        <v>-4302</v>
      </c>
      <c r="E95" s="45">
        <v>-4240</v>
      </c>
      <c r="F95" s="46">
        <f>-F14*F35</f>
        <v>-4573.1071429812946</v>
      </c>
      <c r="G95" s="46">
        <f t="shared" ref="G95:J95" si="82">-G14*G35</f>
        <v>-4867.826565956886</v>
      </c>
      <c r="H95" s="46">
        <f t="shared" si="82"/>
        <v>-5188.5082453948589</v>
      </c>
      <c r="I95" s="46">
        <f t="shared" si="82"/>
        <v>-5535.718335497827</v>
      </c>
      <c r="J95" s="46">
        <f t="shared" si="82"/>
        <v>-5911.1629456969704</v>
      </c>
    </row>
    <row r="96" spans="2:10" x14ac:dyDescent="0.2">
      <c r="B96" s="5" t="s">
        <v>48</v>
      </c>
      <c r="C96" s="3"/>
      <c r="D96" s="3"/>
      <c r="E96" s="3"/>
      <c r="F96" s="3">
        <f>SUM(F93:F95)</f>
        <v>28418.457412596625</v>
      </c>
      <c r="G96" s="3">
        <f t="shared" ref="G96:J96" si="83">SUM(G93:G95)</f>
        <v>36170.241604422306</v>
      </c>
      <c r="H96" s="3">
        <f t="shared" si="83"/>
        <v>44432.696244258652</v>
      </c>
      <c r="I96" s="3">
        <f t="shared" si="83"/>
        <v>53248.06657474953</v>
      </c>
      <c r="J96" s="3">
        <f t="shared" si="83"/>
        <v>62661.314737331122</v>
      </c>
    </row>
    <row r="97" spans="2:10" x14ac:dyDescent="0.2">
      <c r="B97" s="5"/>
      <c r="C97" s="3"/>
      <c r="D97" s="3"/>
      <c r="E97" s="3"/>
      <c r="F97" s="3"/>
      <c r="G97" s="3"/>
      <c r="H97" s="3"/>
      <c r="I97" s="3"/>
      <c r="J97" s="3"/>
    </row>
    <row r="98" spans="2:10" x14ac:dyDescent="0.2">
      <c r="B98" s="5" t="s">
        <v>124</v>
      </c>
      <c r="C98" s="8">
        <f>(C48-C42)-(C63-C59)</f>
        <v>-2169</v>
      </c>
      <c r="D98" s="8">
        <f t="shared" ref="D98:J98" si="84">(D48-D42)-(D63-D59)</f>
        <v>-1936</v>
      </c>
      <c r="E98" s="8">
        <f t="shared" si="84"/>
        <v>661</v>
      </c>
      <c r="F98" s="8">
        <f t="shared" si="84"/>
        <v>699.98717987805867</v>
      </c>
      <c r="G98" s="8">
        <f t="shared" si="84"/>
        <v>742.35538859968074</v>
      </c>
      <c r="H98" s="8">
        <f t="shared" si="84"/>
        <v>787.28802301634641</v>
      </c>
      <c r="I98" s="8">
        <f t="shared" si="84"/>
        <v>834.94030043233579</v>
      </c>
      <c r="J98" s="8">
        <f t="shared" si="84"/>
        <v>885.47683300850622</v>
      </c>
    </row>
    <row r="100" spans="2:10" x14ac:dyDescent="0.2">
      <c r="B100" s="132" t="s">
        <v>50</v>
      </c>
      <c r="C100" s="133" t="s">
        <v>16</v>
      </c>
      <c r="D100" s="133"/>
      <c r="E100" s="133"/>
      <c r="F100" s="133" t="s">
        <v>15</v>
      </c>
      <c r="G100" s="133"/>
      <c r="H100" s="133"/>
      <c r="I100" s="133"/>
      <c r="J100" s="133"/>
    </row>
    <row r="101" spans="2:10" x14ac:dyDescent="0.2">
      <c r="B101" s="134" t="s">
        <v>17</v>
      </c>
      <c r="C101" s="135">
        <v>2023</v>
      </c>
      <c r="D101" s="135">
        <v>2024</v>
      </c>
      <c r="E101" s="135">
        <v>2025</v>
      </c>
      <c r="F101" s="135">
        <v>2026</v>
      </c>
      <c r="G101" s="135">
        <v>2027</v>
      </c>
      <c r="H101" s="135">
        <v>2028</v>
      </c>
      <c r="I101" s="135">
        <v>2029</v>
      </c>
      <c r="J101" s="135">
        <v>2030</v>
      </c>
    </row>
    <row r="102" spans="2:10" x14ac:dyDescent="0.2">
      <c r="B102" t="s">
        <v>19</v>
      </c>
      <c r="F102" s="3">
        <f>F14</f>
        <v>11855.564555577923</v>
      </c>
      <c r="G102" s="3">
        <f t="shared" ref="G102:J102" si="85">G14</f>
        <v>12619.610757782568</v>
      </c>
      <c r="H102" s="3">
        <f t="shared" si="85"/>
        <v>13450.9628852312</v>
      </c>
      <c r="I102" s="3">
        <f t="shared" si="85"/>
        <v>14351.088665988707</v>
      </c>
      <c r="J102" s="3">
        <f t="shared" si="85"/>
        <v>15324.41110827856</v>
      </c>
    </row>
    <row r="103" spans="2:10" x14ac:dyDescent="0.2">
      <c r="B103" t="s">
        <v>51</v>
      </c>
      <c r="F103" s="3">
        <f>-(F24+F28)</f>
        <v>14325.600350211205</v>
      </c>
      <c r="G103" s="3">
        <f t="shared" ref="G103:J103" si="86">-(G24+G28)</f>
        <v>15192.687695733744</v>
      </c>
      <c r="H103" s="3">
        <f t="shared" si="86"/>
        <v>16112.257341919811</v>
      </c>
      <c r="I103" s="3">
        <f t="shared" si="86"/>
        <v>17087.485891331027</v>
      </c>
      <c r="J103" s="3">
        <f t="shared" si="86"/>
        <v>18121.742217136569</v>
      </c>
    </row>
    <row r="104" spans="2:10" x14ac:dyDescent="0.2">
      <c r="B104" t="s">
        <v>93</v>
      </c>
      <c r="F104" s="3">
        <f>F84</f>
        <v>711.66666666666663</v>
      </c>
      <c r="G104" s="3">
        <f t="shared" ref="G104:J104" si="87">G84</f>
        <v>711.66666666666663</v>
      </c>
      <c r="H104" s="3">
        <f t="shared" si="87"/>
        <v>711.66666666666663</v>
      </c>
      <c r="I104" s="3">
        <f t="shared" si="87"/>
        <v>711.66666666666663</v>
      </c>
      <c r="J104" s="3">
        <f t="shared" si="87"/>
        <v>711.66666666666663</v>
      </c>
    </row>
    <row r="105" spans="2:10" x14ac:dyDescent="0.2">
      <c r="B105" t="s">
        <v>25</v>
      </c>
      <c r="F105" s="3">
        <f t="shared" ref="F105:J108" si="88">E43-F43</f>
        <v>-295.00918766134237</v>
      </c>
      <c r="G105" s="3">
        <f t="shared" si="88"/>
        <v>-312.86524445342366</v>
      </c>
      <c r="H105" s="3">
        <f t="shared" si="88"/>
        <v>-331.80207695520312</v>
      </c>
      <c r="I105" s="3">
        <f t="shared" si="88"/>
        <v>-351.88510140881408</v>
      </c>
      <c r="J105" s="3">
        <f t="shared" si="88"/>
        <v>-373.18369351319325</v>
      </c>
    </row>
    <row r="106" spans="2:10" x14ac:dyDescent="0.2">
      <c r="B106" t="s">
        <v>71</v>
      </c>
      <c r="F106" s="3">
        <f t="shared" si="88"/>
        <v>-302.45402354200451</v>
      </c>
      <c r="G106" s="3">
        <f t="shared" si="88"/>
        <v>-320.7606948161183</v>
      </c>
      <c r="H106" s="3">
        <f t="shared" si="88"/>
        <v>-340.17541619719941</v>
      </c>
      <c r="I106" s="3">
        <f t="shared" si="88"/>
        <v>-360.7652547681264</v>
      </c>
      <c r="J106" s="3">
        <f t="shared" si="88"/>
        <v>-382.60133698921345</v>
      </c>
    </row>
    <row r="107" spans="2:10" x14ac:dyDescent="0.2">
      <c r="B107" t="s">
        <v>26</v>
      </c>
      <c r="F107" s="3">
        <f t="shared" si="88"/>
        <v>-160.01536862020475</v>
      </c>
      <c r="G107" s="3">
        <f t="shared" si="88"/>
        <v>-155.25299553457171</v>
      </c>
      <c r="H107" s="3">
        <f t="shared" si="88"/>
        <v>-164.65001237795514</v>
      </c>
      <c r="I107" s="3">
        <f t="shared" si="88"/>
        <v>-174.61580359667551</v>
      </c>
      <c r="J107" s="3">
        <f t="shared" si="88"/>
        <v>-185.18479546616481</v>
      </c>
    </row>
    <row r="108" spans="2:10" x14ac:dyDescent="0.2">
      <c r="B108" t="s">
        <v>72</v>
      </c>
      <c r="F108" s="3">
        <f t="shared" si="88"/>
        <v>-73.540451991902273</v>
      </c>
      <c r="G108" s="3">
        <f t="shared" si="88"/>
        <v>-77.991643826612744</v>
      </c>
      <c r="H108" s="3">
        <f t="shared" si="88"/>
        <v>-82.712253488012266</v>
      </c>
      <c r="I108" s="3">
        <f t="shared" si="88"/>
        <v>-87.718588061491573</v>
      </c>
      <c r="J108" s="3">
        <f t="shared" si="88"/>
        <v>-93.027941653371045</v>
      </c>
    </row>
    <row r="109" spans="2:10" x14ac:dyDescent="0.2">
      <c r="B109" t="s">
        <v>99</v>
      </c>
      <c r="F109" s="3">
        <f>(E47-F47)+(E53-F53)</f>
        <v>-1077.9880246714229</v>
      </c>
      <c r="G109" s="3">
        <f>(F47-G47)+(F53-G53)</f>
        <v>-1143.2355362567687</v>
      </c>
      <c r="H109" s="3">
        <f>(G47-H47)+(G53-H53)</f>
        <v>-1212.4322918695461</v>
      </c>
      <c r="I109" s="3">
        <f>(H47-I47)+(H53-I53)</f>
        <v>-1285.8173278807935</v>
      </c>
      <c r="J109" s="3">
        <f>(I47-J47)+(I53-J53)</f>
        <v>-1363.6441488448872</v>
      </c>
    </row>
    <row r="110" spans="2:10" x14ac:dyDescent="0.2">
      <c r="B110" t="s">
        <v>81</v>
      </c>
      <c r="F110" s="3">
        <f>F58-E58</f>
        <v>622.21880368457096</v>
      </c>
      <c r="G110" s="3">
        <f>G58-F58</f>
        <v>659.87991649183459</v>
      </c>
      <c r="H110" s="3">
        <f>H58-G58</f>
        <v>699.8205480302604</v>
      </c>
      <c r="I110" s="3">
        <f>I58-H58</f>
        <v>742.17867100586955</v>
      </c>
      <c r="J110" s="3">
        <f>J58-I58</f>
        <v>787.10060921535296</v>
      </c>
    </row>
    <row r="111" spans="2:10" x14ac:dyDescent="0.2">
      <c r="B111" t="s">
        <v>100</v>
      </c>
      <c r="F111" s="3">
        <f>-F32</f>
        <v>-1682.4981459119044</v>
      </c>
      <c r="G111" s="3">
        <f>-G32</f>
        <v>-1656.8995610714774</v>
      </c>
      <c r="H111" s="3">
        <f>-H32</f>
        <v>-1757.1869212578131</v>
      </c>
      <c r="I111" s="3">
        <f>-I32</f>
        <v>-1863.5443866269816</v>
      </c>
      <c r="J111" s="3">
        <f>-J32</f>
        <v>-1976.3393631698018</v>
      </c>
    </row>
    <row r="112" spans="2:10" x14ac:dyDescent="0.2">
      <c r="B112" t="s">
        <v>83</v>
      </c>
      <c r="F112" s="3">
        <f>F60-E60</f>
        <v>92.788076463856896</v>
      </c>
      <c r="G112" s="3">
        <f>G60-F60</f>
        <v>98.40427159357796</v>
      </c>
      <c r="H112" s="3">
        <f>H60-G60</f>
        <v>104.36039884536854</v>
      </c>
      <c r="I112" s="3">
        <f>I60-H60</f>
        <v>110.67703333190661</v>
      </c>
      <c r="J112" s="3">
        <f>J60-I60</f>
        <v>117.37599551820381</v>
      </c>
    </row>
    <row r="113" spans="2:10" x14ac:dyDescent="0.2">
      <c r="B113" t="s">
        <v>88</v>
      </c>
      <c r="F113" s="3">
        <f>(F61-E61)+(F69-E69)</f>
        <v>1827.0111468111677</v>
      </c>
      <c r="G113" s="3">
        <f>(G61-F61)+(G69-F69)</f>
        <v>1937.5948715278223</v>
      </c>
      <c r="H113" s="3">
        <f>(H61-G61)+(H69-G69)</f>
        <v>2054.8719107289326</v>
      </c>
      <c r="I113" s="3">
        <f>(I61-H61)+(I69-H69)</f>
        <v>2179.2473914700613</v>
      </c>
      <c r="J113" s="3">
        <f>(J61-I61)+(J69-I69)</f>
        <v>2311.150961981074</v>
      </c>
    </row>
    <row r="114" spans="2:10" x14ac:dyDescent="0.2">
      <c r="B114" s="10" t="s">
        <v>32</v>
      </c>
      <c r="C114" s="10"/>
      <c r="D114" s="10"/>
      <c r="E114" s="10"/>
      <c r="F114" s="12">
        <f>F62-E62</f>
        <v>171.32622627735009</v>
      </c>
      <c r="G114" s="12">
        <f>G62-F62</f>
        <v>166.22721975115292</v>
      </c>
      <c r="H114" s="12">
        <f>H62-G62</f>
        <v>176.28847479136539</v>
      </c>
      <c r="I114" s="12">
        <f>I62-H62</f>
        <v>186.95870863261553</v>
      </c>
      <c r="J114" s="12">
        <f>J62-I62</f>
        <v>198.27478100847202</v>
      </c>
    </row>
    <row r="115" spans="2:10" x14ac:dyDescent="0.2">
      <c r="B115" s="5" t="s">
        <v>52</v>
      </c>
      <c r="C115" s="5"/>
      <c r="D115" s="5"/>
      <c r="E115" s="5"/>
      <c r="F115" s="8">
        <f>SUM(F102:F114)</f>
        <v>26014.670623293958</v>
      </c>
      <c r="G115" s="8">
        <f>SUM(G102:G114)</f>
        <v>27719.065723588395</v>
      </c>
      <c r="H115" s="8">
        <f>SUM(H102:H114)</f>
        <v>29421.26925406788</v>
      </c>
      <c r="I115" s="8">
        <f>SUM(I102:I114)</f>
        <v>31244.956566083973</v>
      </c>
      <c r="J115" s="8">
        <f>SUM(J102:J114)</f>
        <v>33197.74106016825</v>
      </c>
    </row>
    <row r="117" spans="2:10" x14ac:dyDescent="0.2">
      <c r="B117" t="s">
        <v>53</v>
      </c>
      <c r="F117" s="3">
        <f>F25</f>
        <v>-10557.54748936575</v>
      </c>
      <c r="G117" s="3">
        <f>G25</f>
        <v>-11196.565443517133</v>
      </c>
      <c r="H117" s="3">
        <f>H25</f>
        <v>-11874.26131468846</v>
      </c>
      <c r="I117" s="3">
        <f>I25</f>
        <v>-12592.97616584249</v>
      </c>
      <c r="J117" s="3">
        <f>J25</f>
        <v>-13355.192757743156</v>
      </c>
    </row>
    <row r="118" spans="2:10" x14ac:dyDescent="0.2">
      <c r="B118" s="10" t="s">
        <v>30</v>
      </c>
      <c r="C118" s="10"/>
      <c r="D118" s="10"/>
      <c r="E118" s="10"/>
      <c r="F118" s="12">
        <f>F29</f>
        <v>-2723.433646679181</v>
      </c>
      <c r="G118" s="12">
        <f>G29</f>
        <v>-2888.275244495429</v>
      </c>
      <c r="H118" s="12">
        <f>H29</f>
        <v>-3063.0942296454009</v>
      </c>
      <c r="I118" s="12">
        <f>I29</f>
        <v>-3248.4945046593189</v>
      </c>
      <c r="J118" s="12">
        <f>J29</f>
        <v>-3445.1165245489128</v>
      </c>
    </row>
    <row r="119" spans="2:10" x14ac:dyDescent="0.2">
      <c r="B119" s="5" t="s">
        <v>141</v>
      </c>
      <c r="C119" s="5"/>
      <c r="D119" s="5"/>
      <c r="E119" s="5"/>
      <c r="F119" s="8">
        <f>SUM(F117:F118)</f>
        <v>-13280.981136044931</v>
      </c>
      <c r="G119" s="8">
        <f t="shared" ref="G119:J119" si="89">SUM(G117:G118)</f>
        <v>-14084.840688012562</v>
      </c>
      <c r="H119" s="8">
        <f t="shared" si="89"/>
        <v>-14937.355544333861</v>
      </c>
      <c r="I119" s="8">
        <f t="shared" si="89"/>
        <v>-15841.470670501809</v>
      </c>
      <c r="J119" s="8">
        <f t="shared" si="89"/>
        <v>-16800.30928229207</v>
      </c>
    </row>
    <row r="121" spans="2:10" x14ac:dyDescent="0.2">
      <c r="B121" t="s">
        <v>101</v>
      </c>
      <c r="C121" s="3"/>
      <c r="D121" s="3"/>
      <c r="E121" s="3"/>
      <c r="F121" s="3">
        <f>F66-E66</f>
        <v>5000</v>
      </c>
      <c r="G121" s="3">
        <f>G66-F66</f>
        <v>5000</v>
      </c>
      <c r="H121" s="3">
        <f>H66-G66</f>
        <v>5000</v>
      </c>
      <c r="I121" s="3">
        <f>I66-H66</f>
        <v>5000</v>
      </c>
      <c r="J121" s="3">
        <f>J66-I66</f>
        <v>5000</v>
      </c>
    </row>
    <row r="122" spans="2:10" x14ac:dyDescent="0.2">
      <c r="B122" t="s">
        <v>33</v>
      </c>
      <c r="C122" s="3"/>
      <c r="D122" s="3"/>
      <c r="E122" s="3"/>
      <c r="F122" s="3">
        <f>F136</f>
        <v>0</v>
      </c>
      <c r="G122" s="3">
        <f t="shared" ref="G122:J122" si="90">G136</f>
        <v>0</v>
      </c>
      <c r="H122" s="3">
        <f t="shared" si="90"/>
        <v>0</v>
      </c>
      <c r="I122" s="3">
        <f t="shared" si="90"/>
        <v>0</v>
      </c>
      <c r="J122" s="3">
        <f t="shared" si="90"/>
        <v>0</v>
      </c>
    </row>
    <row r="123" spans="2:10" x14ac:dyDescent="0.2">
      <c r="B123" t="s">
        <v>86</v>
      </c>
      <c r="C123" s="3"/>
      <c r="D123" s="3"/>
      <c r="E123" s="3"/>
      <c r="F123" s="3">
        <f t="shared" ref="F123:J124" si="91">F67-E67</f>
        <v>0</v>
      </c>
      <c r="G123" s="3">
        <f t="shared" si="91"/>
        <v>0</v>
      </c>
      <c r="H123" s="3">
        <f t="shared" si="91"/>
        <v>0</v>
      </c>
      <c r="I123" s="3">
        <f t="shared" si="91"/>
        <v>0</v>
      </c>
      <c r="J123" s="3">
        <f t="shared" si="91"/>
        <v>0</v>
      </c>
    </row>
    <row r="124" spans="2:10" x14ac:dyDescent="0.2">
      <c r="B124" t="s">
        <v>87</v>
      </c>
      <c r="C124" s="3"/>
      <c r="D124" s="3"/>
      <c r="E124" s="3"/>
      <c r="F124" s="3">
        <f t="shared" si="91"/>
        <v>0</v>
      </c>
      <c r="G124" s="3">
        <f t="shared" si="91"/>
        <v>0</v>
      </c>
      <c r="H124" s="3">
        <f t="shared" si="91"/>
        <v>0</v>
      </c>
      <c r="I124" s="3">
        <f t="shared" si="91"/>
        <v>0</v>
      </c>
      <c r="J124" s="3">
        <f t="shared" si="91"/>
        <v>0</v>
      </c>
    </row>
    <row r="125" spans="2:10" x14ac:dyDescent="0.2">
      <c r="B125" t="s">
        <v>102</v>
      </c>
      <c r="C125" s="3"/>
      <c r="D125" s="3"/>
      <c r="E125" s="3"/>
      <c r="F125" s="3">
        <f>F26</f>
        <v>-1200</v>
      </c>
      <c r="G125" s="3">
        <f>G26</f>
        <v>-1200</v>
      </c>
      <c r="H125" s="3">
        <f>H26</f>
        <v>-1200</v>
      </c>
      <c r="I125" s="3">
        <f>I26</f>
        <v>-1200</v>
      </c>
      <c r="J125" s="3">
        <f>J26</f>
        <v>-1200</v>
      </c>
    </row>
    <row r="126" spans="2:10" x14ac:dyDescent="0.2">
      <c r="B126" t="s">
        <v>35</v>
      </c>
      <c r="C126" s="3"/>
      <c r="D126" s="3"/>
      <c r="E126" s="3"/>
      <c r="F126" s="3">
        <f>F70-E70</f>
        <v>0</v>
      </c>
      <c r="G126" s="3">
        <f>G70-F70</f>
        <v>0</v>
      </c>
      <c r="H126" s="3">
        <f>H70-G70</f>
        <v>0</v>
      </c>
      <c r="I126" s="3">
        <f>I70-H70</f>
        <v>0</v>
      </c>
      <c r="J126" s="3">
        <f>J70-I70</f>
        <v>0</v>
      </c>
    </row>
    <row r="127" spans="2:10" x14ac:dyDescent="0.2">
      <c r="B127" t="s">
        <v>54</v>
      </c>
      <c r="C127" s="3"/>
      <c r="D127" s="3"/>
      <c r="E127" s="3"/>
      <c r="F127" s="3">
        <f>SUM(F85:F86)</f>
        <v>-128.33333333333331</v>
      </c>
      <c r="G127" s="3">
        <f t="shared" ref="G127:J127" si="92">SUM(G85:G86)</f>
        <v>-128.33333333333331</v>
      </c>
      <c r="H127" s="3">
        <f t="shared" si="92"/>
        <v>-128.33333333333331</v>
      </c>
      <c r="I127" s="3">
        <f t="shared" si="92"/>
        <v>-128.33333333333331</v>
      </c>
      <c r="J127" s="3">
        <f t="shared" si="92"/>
        <v>-128.33333333333331</v>
      </c>
    </row>
    <row r="128" spans="2:10" x14ac:dyDescent="0.2">
      <c r="B128" t="s">
        <v>55</v>
      </c>
      <c r="C128" s="3"/>
      <c r="D128" s="3"/>
      <c r="E128" s="3"/>
      <c r="F128" s="3">
        <f>F90</f>
        <v>-9974</v>
      </c>
      <c r="G128" s="3">
        <f>G90</f>
        <v>-9974</v>
      </c>
      <c r="H128" s="3">
        <f>H90</f>
        <v>-9974</v>
      </c>
      <c r="I128" s="3">
        <f>I90</f>
        <v>-9974</v>
      </c>
      <c r="J128" s="3">
        <f>J90</f>
        <v>-9974</v>
      </c>
    </row>
    <row r="129" spans="2:10" x14ac:dyDescent="0.2">
      <c r="B129" t="s">
        <v>37</v>
      </c>
      <c r="C129" s="3"/>
      <c r="D129" s="3"/>
      <c r="E129" s="3"/>
      <c r="F129" s="3">
        <f>F75-E75</f>
        <v>0</v>
      </c>
      <c r="G129" s="3">
        <f>G75-F75</f>
        <v>0</v>
      </c>
      <c r="H129" s="3">
        <f>H75-G75</f>
        <v>0</v>
      </c>
      <c r="I129" s="3">
        <f>I75-H75</f>
        <v>0</v>
      </c>
      <c r="J129" s="3">
        <f>J75-I75</f>
        <v>0</v>
      </c>
    </row>
    <row r="130" spans="2:10" x14ac:dyDescent="0.2">
      <c r="B130" s="10" t="s">
        <v>56</v>
      </c>
      <c r="C130" s="12"/>
      <c r="D130" s="12"/>
      <c r="E130" s="12"/>
      <c r="F130" s="12">
        <f>F95</f>
        <v>-4573.1071429812946</v>
      </c>
      <c r="G130" s="12">
        <f>G95</f>
        <v>-4867.826565956886</v>
      </c>
      <c r="H130" s="12">
        <f>H95</f>
        <v>-5188.5082453948589</v>
      </c>
      <c r="I130" s="12">
        <f>I95</f>
        <v>-5535.718335497827</v>
      </c>
      <c r="J130" s="12">
        <f>J95</f>
        <v>-5911.1629456969704</v>
      </c>
    </row>
    <row r="131" spans="2:10" x14ac:dyDescent="0.2">
      <c r="B131" s="5" t="s">
        <v>57</v>
      </c>
      <c r="C131" s="8"/>
      <c r="D131" s="8"/>
      <c r="E131" s="8"/>
      <c r="F131" s="8">
        <f>SUM(F121:F130)</f>
        <v>-10875.440476314629</v>
      </c>
      <c r="G131" s="8">
        <f>SUM(G121:G130)</f>
        <v>-11170.15989929022</v>
      </c>
      <c r="H131" s="8">
        <f>SUM(H121:H130)</f>
        <v>-11490.841578728192</v>
      </c>
      <c r="I131" s="8">
        <f>SUM(I121:I130)</f>
        <v>-11838.051668831162</v>
      </c>
      <c r="J131" s="8">
        <f>SUM(J121:J130)</f>
        <v>-12213.496279030303</v>
      </c>
    </row>
    <row r="132" spans="2:10" x14ac:dyDescent="0.2">
      <c r="B132" s="10"/>
      <c r="C132" s="10"/>
      <c r="D132" s="10"/>
      <c r="E132" s="10"/>
      <c r="F132" s="10"/>
      <c r="G132" s="10"/>
      <c r="H132" s="10"/>
      <c r="I132" s="10"/>
      <c r="J132" s="10"/>
    </row>
    <row r="133" spans="2:10" x14ac:dyDescent="0.2">
      <c r="B133" s="5" t="s">
        <v>58</v>
      </c>
      <c r="C133" s="5"/>
      <c r="D133" s="5"/>
      <c r="E133" s="5"/>
      <c r="F133" s="8">
        <f>F115+F119+F131</f>
        <v>1858.249010934398</v>
      </c>
      <c r="G133" s="8">
        <f>G115+G119+G131</f>
        <v>2464.0651362856133</v>
      </c>
      <c r="H133" s="8">
        <f>H115+H119+H131</f>
        <v>2993.072131005827</v>
      </c>
      <c r="I133" s="8">
        <f>I115+I119+I131</f>
        <v>3565.4342267510019</v>
      </c>
      <c r="J133" s="8">
        <f>J115+J119+J131</f>
        <v>4183.9354988458763</v>
      </c>
    </row>
    <row r="134" spans="2:10" x14ac:dyDescent="0.2">
      <c r="B134" s="10"/>
      <c r="C134" s="13"/>
      <c r="D134" s="13"/>
      <c r="E134" s="13"/>
      <c r="F134" s="13"/>
      <c r="G134" s="13"/>
      <c r="H134" s="13"/>
      <c r="I134" s="13"/>
      <c r="J134" s="13"/>
    </row>
    <row r="135" spans="2:10" x14ac:dyDescent="0.2">
      <c r="B135" s="5" t="s">
        <v>59</v>
      </c>
      <c r="C135" s="5"/>
      <c r="D135" s="5"/>
      <c r="E135" s="5"/>
      <c r="F135" s="8">
        <f>E42+F115+F119+SUM(F121,F123:F130)</f>
        <v>7456.249010934398</v>
      </c>
      <c r="G135" s="8">
        <f>F42+G115+G119+SUM(G121,G123:G130)</f>
        <v>9920.3141472200095</v>
      </c>
      <c r="H135" s="8">
        <f>G42+H115+H119+SUM(H121,H123:H130)</f>
        <v>12913.386278225837</v>
      </c>
      <c r="I135" s="8">
        <f>H42+I115+I119+SUM(I121,I123:I130)</f>
        <v>16478.820504976837</v>
      </c>
      <c r="J135" s="8">
        <f>I42+J115+J119+SUM(J121,J123:J130)</f>
        <v>20662.756003822717</v>
      </c>
    </row>
    <row r="136" spans="2:10" x14ac:dyDescent="0.2">
      <c r="B136" t="s">
        <v>60</v>
      </c>
      <c r="F136" s="3">
        <f>-MIN(F135,E65)</f>
        <v>0</v>
      </c>
      <c r="G136" s="3">
        <f>-MIN(G135,F65)</f>
        <v>0</v>
      </c>
      <c r="H136" s="3">
        <f>-MIN(H135,G65)</f>
        <v>0</v>
      </c>
      <c r="I136" s="3">
        <f>-MIN(I135,H65)</f>
        <v>0</v>
      </c>
      <c r="J136" s="3">
        <f>-MIN(J135,I65)</f>
        <v>0</v>
      </c>
    </row>
  </sheetData>
  <pageMargins left="0.7" right="0.7" top="0.75" bottom="0.75" header="0.3" footer="0.3"/>
  <pageSetup scale="74" fitToHeight="4" orientation="landscape" horizontalDpi="0" verticalDpi="0"/>
  <rowBreaks count="3" manualBreakCount="3">
    <brk id="38" max="16383" man="1"/>
    <brk id="80" max="16383" man="1"/>
    <brk id="98" max="16383" man="1"/>
  </rowBreaks>
  <ignoredErrors>
    <ignoredError sqref="C7:E7 C48 D48:J48 D31:E31" formulaRange="1"/>
    <ignoredError sqref="F69:J69 F59 G59:J59 F111:J111 F113:J113 F125:J125 F128:J1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45BA-840D-F74B-84C1-BA25A96F8309}">
  <sheetPr>
    <pageSetUpPr fitToPage="1"/>
  </sheetPr>
  <dimension ref="B2:H54"/>
  <sheetViews>
    <sheetView zoomScaleNormal="100" workbookViewId="0"/>
  </sheetViews>
  <sheetFormatPr baseColWidth="10" defaultRowHeight="16" x14ac:dyDescent="0.2"/>
  <cols>
    <col min="1" max="1" width="3.7109375" customWidth="1"/>
    <col min="2" max="2" width="30.5703125" bestFit="1" customWidth="1"/>
    <col min="3" max="8" width="20.7109375" customWidth="1"/>
    <col min="9" max="9" width="3.7109375" customWidth="1"/>
    <col min="10" max="10" width="20.7109375" bestFit="1" customWidth="1"/>
    <col min="11" max="11" width="22.28515625" bestFit="1" customWidth="1"/>
    <col min="12" max="12" width="3.7109375" customWidth="1"/>
  </cols>
  <sheetData>
    <row r="2" spans="2:8" x14ac:dyDescent="0.2">
      <c r="B2" s="132" t="s">
        <v>120</v>
      </c>
      <c r="C2" s="132">
        <v>0</v>
      </c>
      <c r="D2" s="132">
        <v>1</v>
      </c>
      <c r="E2" s="132">
        <v>2</v>
      </c>
      <c r="F2" s="132">
        <v>3</v>
      </c>
      <c r="G2" s="132">
        <v>4</v>
      </c>
      <c r="H2" s="132">
        <v>5</v>
      </c>
    </row>
    <row r="3" spans="2:8" x14ac:dyDescent="0.2">
      <c r="B3" s="132" t="s">
        <v>119</v>
      </c>
      <c r="C3" s="133"/>
      <c r="D3" s="136"/>
      <c r="E3" s="133"/>
      <c r="F3" s="133"/>
      <c r="G3" s="133"/>
      <c r="H3" s="133"/>
    </row>
    <row r="4" spans="2:8" x14ac:dyDescent="0.2">
      <c r="B4" t="s">
        <v>1</v>
      </c>
      <c r="C4" s="35">
        <f>'T-Mobile 3 Statement Model'!E4</f>
        <v>88309</v>
      </c>
      <c r="D4" s="35">
        <f>'T-Mobile 3 Statement Model'!F4</f>
        <v>93654.089526710202</v>
      </c>
      <c r="E4" s="35">
        <f>'T-Mobile 3 Statement Model'!G4</f>
        <v>99322.70193385781</v>
      </c>
      <c r="F4" s="35">
        <f>'T-Mobile 3 Statement Model'!H4</f>
        <v>105334.41912996718</v>
      </c>
      <c r="G4" s="35">
        <f>'T-Mobile 3 Statement Model'!I4</f>
        <v>111710.00826010895</v>
      </c>
      <c r="H4" s="35">
        <f>'T-Mobile 3 Statement Model'!J4</f>
        <v>118471.49344485589</v>
      </c>
    </row>
    <row r="5" spans="2:8" x14ac:dyDescent="0.2">
      <c r="B5" t="s">
        <v>2</v>
      </c>
      <c r="C5" s="36">
        <f>'T-Mobile 3 Statement Model'!E17</f>
        <v>8.4877149877149893E-2</v>
      </c>
      <c r="D5" s="36">
        <f>'T-Mobile 3 Statement Model'!F17</f>
        <v>6.0527120980989446E-2</v>
      </c>
      <c r="E5" s="36">
        <f>'T-Mobile 3 Statement Model'!G17</f>
        <v>6.0527120980989446E-2</v>
      </c>
      <c r="F5" s="36">
        <f>'T-Mobile 3 Statement Model'!H17</f>
        <v>6.0527120980989446E-2</v>
      </c>
      <c r="G5" s="36">
        <f>'T-Mobile 3 Statement Model'!I17</f>
        <v>6.0527120980989446E-2</v>
      </c>
      <c r="H5" s="36">
        <f>'T-Mobile 3 Statement Model'!J17</f>
        <v>6.0527120980989446E-2</v>
      </c>
    </row>
    <row r="7" spans="2:8" x14ac:dyDescent="0.2">
      <c r="B7" t="s">
        <v>3</v>
      </c>
      <c r="C7" s="3">
        <f t="shared" ref="C7:H7" si="0">C11-C10</f>
        <v>31787</v>
      </c>
      <c r="D7" s="3">
        <f t="shared" si="0"/>
        <v>33363.618525597623</v>
      </c>
      <c r="E7" s="3">
        <f t="shared" si="0"/>
        <v>35383.022300460056</v>
      </c>
      <c r="F7" s="3">
        <f t="shared" si="0"/>
        <v>37524.654771913039</v>
      </c>
      <c r="G7" s="3">
        <f t="shared" si="0"/>
        <v>39795.914091062499</v>
      </c>
      <c r="H7" s="3">
        <f t="shared" si="0"/>
        <v>42204.646197801289</v>
      </c>
    </row>
    <row r="8" spans="2:8" x14ac:dyDescent="0.2">
      <c r="B8" t="s">
        <v>4</v>
      </c>
      <c r="C8" s="37">
        <f>C7/'T-Mobile 3 Statement Model'!E4</f>
        <v>0.35995198677371504</v>
      </c>
      <c r="D8" s="37">
        <f>D7/'T-Mobile 3 Statement Model'!F4</f>
        <v>0.35624305029501463</v>
      </c>
      <c r="E8" s="37">
        <f>E7/'T-Mobile 3 Statement Model'!G4</f>
        <v>0.35624305029501463</v>
      </c>
      <c r="F8" s="37">
        <f>F7/'T-Mobile 3 Statement Model'!H4</f>
        <v>0.35624305029501452</v>
      </c>
      <c r="G8" s="37">
        <f>G7/'T-Mobile 3 Statement Model'!I4</f>
        <v>0.35624305029501468</v>
      </c>
      <c r="H8" s="37">
        <f>H7/'T-Mobile 3 Statement Model'!J4</f>
        <v>0.35624305029501457</v>
      </c>
    </row>
    <row r="10" spans="2:8" x14ac:dyDescent="0.2">
      <c r="B10" t="s">
        <v>7</v>
      </c>
      <c r="C10" s="35">
        <f>'T-Mobile 3 Statement Model'!E23</f>
        <v>-13508</v>
      </c>
      <c r="D10" s="35">
        <f>'T-Mobile 3 Statement Model'!F23</f>
        <v>-14325.600350211205</v>
      </c>
      <c r="E10" s="35">
        <f>'T-Mobile 3 Statement Model'!G23</f>
        <v>-15192.687695733744</v>
      </c>
      <c r="F10" s="35">
        <f>'T-Mobile 3 Statement Model'!H23</f>
        <v>-16112.257341919811</v>
      </c>
      <c r="G10" s="35">
        <f>'T-Mobile 3 Statement Model'!I23</f>
        <v>-17087.485891331027</v>
      </c>
      <c r="H10" s="35">
        <f>'T-Mobile 3 Statement Model'!J23</f>
        <v>-18121.742217136569</v>
      </c>
    </row>
    <row r="11" spans="2:8" x14ac:dyDescent="0.2">
      <c r="B11" t="s">
        <v>8</v>
      </c>
      <c r="C11" s="35">
        <f>'T-Mobile 3 Statement Model'!E7</f>
        <v>18279</v>
      </c>
      <c r="D11" s="35">
        <f>'T-Mobile 3 Statement Model'!F7</f>
        <v>19038.018175386416</v>
      </c>
      <c r="E11" s="35">
        <f>'T-Mobile 3 Statement Model'!G7</f>
        <v>20190.334604726311</v>
      </c>
      <c r="F11" s="35">
        <f>'T-Mobile 3 Statement Model'!H7</f>
        <v>21412.397429993231</v>
      </c>
      <c r="G11" s="35">
        <f>'T-Mobile 3 Statement Model'!I7</f>
        <v>22708.428199731468</v>
      </c>
      <c r="H11" s="35">
        <f>'T-Mobile 3 Statement Model'!J7</f>
        <v>24082.90398066472</v>
      </c>
    </row>
    <row r="13" spans="2:8" x14ac:dyDescent="0.2">
      <c r="B13" s="132" t="s">
        <v>5</v>
      </c>
      <c r="C13" s="133"/>
      <c r="D13" s="136"/>
      <c r="E13" s="133"/>
      <c r="F13" s="133"/>
      <c r="G13" s="133"/>
      <c r="H13" s="133"/>
    </row>
    <row r="14" spans="2:8" x14ac:dyDescent="0.2">
      <c r="B14" t="s">
        <v>3</v>
      </c>
      <c r="C14" s="3">
        <f t="shared" ref="C14:H14" si="1">C7</f>
        <v>31787</v>
      </c>
      <c r="D14" s="3">
        <f t="shared" si="1"/>
        <v>33363.618525597623</v>
      </c>
      <c r="E14" s="3">
        <f t="shared" si="1"/>
        <v>35383.022300460056</v>
      </c>
      <c r="F14" s="3">
        <f t="shared" si="1"/>
        <v>37524.654771913039</v>
      </c>
      <c r="G14" s="3">
        <f t="shared" si="1"/>
        <v>39795.914091062499</v>
      </c>
      <c r="H14" s="3">
        <f t="shared" si="1"/>
        <v>42204.646197801289</v>
      </c>
    </row>
    <row r="15" spans="2:8" x14ac:dyDescent="0.2">
      <c r="B15" t="s">
        <v>121</v>
      </c>
      <c r="C15" s="3">
        <f t="shared" ref="C15:H15" si="2">-(C11*$F$39)</f>
        <v>-4285.9074387467326</v>
      </c>
      <c r="D15" s="3">
        <f t="shared" si="2"/>
        <v>-4463.8756888716098</v>
      </c>
      <c r="E15" s="3">
        <f t="shared" si="2"/>
        <v>-4734.0612327360404</v>
      </c>
      <c r="F15" s="3">
        <f t="shared" si="2"/>
        <v>-5020.6003297012649</v>
      </c>
      <c r="G15" s="3">
        <f t="shared" si="2"/>
        <v>-5324.4828132542907</v>
      </c>
      <c r="H15" s="3">
        <f t="shared" si="2"/>
        <v>-5646.7584286533311</v>
      </c>
    </row>
    <row r="16" spans="2:8" x14ac:dyDescent="0.2">
      <c r="B16" t="s">
        <v>122</v>
      </c>
      <c r="C16" s="35">
        <f>'T-Mobile 3 Statement Model'!E25</f>
        <v>-9955</v>
      </c>
      <c r="D16" s="35">
        <f>'T-Mobile 3 Statement Model'!F25</f>
        <v>-10557.54748936575</v>
      </c>
      <c r="E16" s="35">
        <f>'T-Mobile 3 Statement Model'!G25</f>
        <v>-11196.565443517133</v>
      </c>
      <c r="F16" s="35">
        <f>'T-Mobile 3 Statement Model'!H25</f>
        <v>-11874.26131468846</v>
      </c>
      <c r="G16" s="35">
        <f>'T-Mobile 3 Statement Model'!I25</f>
        <v>-12592.97616584249</v>
      </c>
      <c r="H16" s="35">
        <f>'T-Mobile 3 Statement Model'!J25</f>
        <v>-13355.192757743156</v>
      </c>
    </row>
    <row r="17" spans="2:8" x14ac:dyDescent="0.2">
      <c r="B17" t="s">
        <v>125</v>
      </c>
      <c r="C17" s="35">
        <f>'T-Mobile 3 Statement Model'!E29</f>
        <v>-2568</v>
      </c>
      <c r="D17" s="35">
        <f>'T-Mobile 3 Statement Model'!F29</f>
        <v>-2723.433646679181</v>
      </c>
      <c r="E17" s="35">
        <f>'T-Mobile 3 Statement Model'!G29</f>
        <v>-2888.275244495429</v>
      </c>
      <c r="F17" s="35">
        <f>'T-Mobile 3 Statement Model'!H29</f>
        <v>-3063.0942296454009</v>
      </c>
      <c r="G17" s="35">
        <f>'T-Mobile 3 Statement Model'!I29</f>
        <v>-3248.4945046593189</v>
      </c>
      <c r="H17" s="35">
        <f>'T-Mobile 3 Statement Model'!J29</f>
        <v>-3445.1165245489128</v>
      </c>
    </row>
    <row r="18" spans="2:8" x14ac:dyDescent="0.2">
      <c r="B18" s="10" t="s">
        <v>123</v>
      </c>
      <c r="C18" s="38">
        <f>-('T-Mobile 3 Statement Model'!E98-'T-Mobile 3 Statement Model'!D98)</f>
        <v>-2597</v>
      </c>
      <c r="D18" s="38">
        <f>-('T-Mobile 3 Statement Model'!F98-'T-Mobile 3 Statement Model'!E98)</f>
        <v>-38.987179878058669</v>
      </c>
      <c r="E18" s="38">
        <f>-('T-Mobile 3 Statement Model'!G98-'T-Mobile 3 Statement Model'!F98)</f>
        <v>-42.368208721622068</v>
      </c>
      <c r="F18" s="38">
        <f>-('T-Mobile 3 Statement Model'!H98-'T-Mobile 3 Statement Model'!G98)</f>
        <v>-44.932634416665678</v>
      </c>
      <c r="G18" s="38">
        <f>-('T-Mobile 3 Statement Model'!I98-'T-Mobile 3 Statement Model'!H98)</f>
        <v>-47.652277415989374</v>
      </c>
      <c r="H18" s="38">
        <f>-('T-Mobile 3 Statement Model'!J98-'T-Mobile 3 Statement Model'!I98)</f>
        <v>-50.53653257617043</v>
      </c>
    </row>
    <row r="19" spans="2:8" x14ac:dyDescent="0.2">
      <c r="B19" s="5" t="s">
        <v>6</v>
      </c>
      <c r="C19" s="8">
        <f t="shared" ref="C19:H19" si="3">SUM(C14:C18)</f>
        <v>12381.092561253266</v>
      </c>
      <c r="D19" s="8">
        <f t="shared" si="3"/>
        <v>15579.774520803023</v>
      </c>
      <c r="E19" s="8">
        <f t="shared" si="3"/>
        <v>16521.752170989832</v>
      </c>
      <c r="F19" s="8">
        <f t="shared" si="3"/>
        <v>17521.766263461246</v>
      </c>
      <c r="G19" s="8">
        <f t="shared" si="3"/>
        <v>18582.308329890409</v>
      </c>
      <c r="H19" s="8">
        <f t="shared" si="3"/>
        <v>19707.041954279717</v>
      </c>
    </row>
    <row r="21" spans="2:8" x14ac:dyDescent="0.2">
      <c r="B21" s="132" t="s">
        <v>9</v>
      </c>
      <c r="C21" s="133"/>
      <c r="D21" s="136"/>
      <c r="E21" s="133"/>
      <c r="F21" s="133"/>
      <c r="G21" s="133"/>
      <c r="H21" s="133"/>
    </row>
    <row r="22" spans="2:8" x14ac:dyDescent="0.2">
      <c r="B22" t="s">
        <v>6</v>
      </c>
      <c r="C22" s="3"/>
      <c r="D22" s="3">
        <f>D19</f>
        <v>15579.774520803023</v>
      </c>
      <c r="E22" s="3">
        <f>E19</f>
        <v>16521.752170989832</v>
      </c>
      <c r="F22" s="3">
        <f>F19</f>
        <v>17521.766263461246</v>
      </c>
      <c r="G22" s="3">
        <f>G19</f>
        <v>18582.308329890409</v>
      </c>
      <c r="H22" s="3">
        <f>H19</f>
        <v>19707.041954279717</v>
      </c>
    </row>
    <row r="23" spans="2:8" x14ac:dyDescent="0.2">
      <c r="B23" s="10" t="s">
        <v>11</v>
      </c>
      <c r="C23" s="12"/>
      <c r="D23" s="12"/>
      <c r="E23" s="12"/>
      <c r="F23" s="12"/>
      <c r="G23" s="12"/>
      <c r="H23" s="12">
        <f>H14*C43</f>
        <v>295432.52338460903</v>
      </c>
    </row>
    <row r="24" spans="2:8" x14ac:dyDescent="0.2">
      <c r="B24" s="5" t="s">
        <v>104</v>
      </c>
      <c r="C24" s="8"/>
      <c r="D24" s="8">
        <f t="shared" ref="D24:H24" si="4">SUM(D22:D23)</f>
        <v>15579.774520803023</v>
      </c>
      <c r="E24" s="8">
        <f t="shared" si="4"/>
        <v>16521.752170989832</v>
      </c>
      <c r="F24" s="8">
        <f t="shared" si="4"/>
        <v>17521.766263461246</v>
      </c>
      <c r="G24" s="8">
        <f t="shared" si="4"/>
        <v>18582.308329890409</v>
      </c>
      <c r="H24" s="8">
        <f t="shared" si="4"/>
        <v>315139.56533888873</v>
      </c>
    </row>
    <row r="25" spans="2:8" x14ac:dyDescent="0.2">
      <c r="C25" s="3"/>
      <c r="D25" s="3"/>
      <c r="E25" s="3"/>
      <c r="F25" s="3"/>
      <c r="G25" s="3"/>
      <c r="H25" s="3"/>
    </row>
    <row r="26" spans="2:8" x14ac:dyDescent="0.2">
      <c r="B26" s="10" t="s">
        <v>13</v>
      </c>
      <c r="C26" s="12">
        <f>SUM(D26:H26)</f>
        <v>296097.32212571939</v>
      </c>
      <c r="D26" s="12">
        <f>D24/((1+$C$45)^D2)</f>
        <v>14717.535410415312</v>
      </c>
      <c r="E26" s="12">
        <f>E24/((1+$C$45)^E2)</f>
        <v>14743.613794708908</v>
      </c>
      <c r="F26" s="12">
        <f>F24/((1+$C$45)^F2)</f>
        <v>14770.651339103235</v>
      </c>
      <c r="G26" s="12">
        <f>G24/((1+$C$45)^G2)</f>
        <v>14797.738466240133</v>
      </c>
      <c r="H26" s="12">
        <f>H24/((1+$C$45)^H2)</f>
        <v>237067.7831152518</v>
      </c>
    </row>
    <row r="27" spans="2:8" x14ac:dyDescent="0.2">
      <c r="B27" s="5" t="s">
        <v>14</v>
      </c>
      <c r="C27" s="8">
        <f>NPV(C45,D24:H24)</f>
        <v>296097.32212571939</v>
      </c>
      <c r="D27" s="3"/>
      <c r="E27" s="3"/>
      <c r="F27" s="3"/>
      <c r="G27" s="3"/>
      <c r="H27" s="3"/>
    </row>
    <row r="29" spans="2:8" x14ac:dyDescent="0.2">
      <c r="B29" s="132" t="s">
        <v>126</v>
      </c>
      <c r="C29" s="132"/>
      <c r="E29" s="132" t="s">
        <v>118</v>
      </c>
      <c r="F29" s="132"/>
    </row>
    <row r="30" spans="2:8" x14ac:dyDescent="0.2">
      <c r="B30" t="s">
        <v>127</v>
      </c>
      <c r="C30" s="3">
        <f>SUM(D26:H26)-C31</f>
        <v>73854.414277514326</v>
      </c>
      <c r="E30" t="s">
        <v>111</v>
      </c>
      <c r="F30" s="26">
        <v>154.06</v>
      </c>
    </row>
    <row r="31" spans="2:8" x14ac:dyDescent="0.2">
      <c r="B31" t="s">
        <v>128</v>
      </c>
      <c r="C31" s="3">
        <f>H23/((1+$C$45)^H2)</f>
        <v>222242.90784820507</v>
      </c>
      <c r="E31" s="10" t="s">
        <v>107</v>
      </c>
      <c r="F31" s="27">
        <f>1101862739/1000000</f>
        <v>1101.8627389999999</v>
      </c>
    </row>
    <row r="32" spans="2:8" x14ac:dyDescent="0.2">
      <c r="B32" t="s">
        <v>129</v>
      </c>
      <c r="C32" s="3">
        <f>C30+C31</f>
        <v>296097.32212571939</v>
      </c>
      <c r="E32" t="s">
        <v>105</v>
      </c>
      <c r="F32" s="18">
        <f>F30*F31</f>
        <v>169752.97357033999</v>
      </c>
    </row>
    <row r="33" spans="2:7" x14ac:dyDescent="0.2">
      <c r="B33" s="30" t="s">
        <v>131</v>
      </c>
      <c r="C33" s="35">
        <f>'T-Mobile 3 Statement Model'!E42</f>
        <v>5598</v>
      </c>
      <c r="E33" s="12" t="s">
        <v>101</v>
      </c>
      <c r="F33" s="39">
        <f>('T-Mobile 3 Statement Model'!E59+'T-Mobile 3 Statement Model'!E66+'T-Mobile 3 Statement Model'!E67)</f>
        <v>92084</v>
      </c>
    </row>
    <row r="34" spans="2:7" x14ac:dyDescent="0.2">
      <c r="B34" s="30" t="s">
        <v>130</v>
      </c>
      <c r="C34" s="35">
        <f>-('T-Mobile 3 Statement Model'!E59+'T-Mobile 3 Statement Model'!E66+'T-Mobile 3 Statement Model'!E67)</f>
        <v>-92084</v>
      </c>
      <c r="E34" s="19" t="s">
        <v>106</v>
      </c>
      <c r="F34" s="20">
        <f>F32+F33</f>
        <v>261836.97357033999</v>
      </c>
    </row>
    <row r="35" spans="2:7" x14ac:dyDescent="0.2">
      <c r="B35" s="30"/>
      <c r="C35" s="3"/>
      <c r="E35" s="5" t="s">
        <v>108</v>
      </c>
      <c r="F35" s="22">
        <f>F32/F34</f>
        <v>0.64831551959844769</v>
      </c>
    </row>
    <row r="36" spans="2:7" x14ac:dyDescent="0.2">
      <c r="B36" t="s">
        <v>132</v>
      </c>
      <c r="C36" s="3">
        <f>SUM(C32:C35)</f>
        <v>209611.32212571939</v>
      </c>
      <c r="E36" s="5" t="s">
        <v>109</v>
      </c>
      <c r="F36" s="22">
        <f>F33/F34</f>
        <v>0.35168448040155231</v>
      </c>
    </row>
    <row r="37" spans="2:7" x14ac:dyDescent="0.2">
      <c r="B37" s="31" t="s">
        <v>133</v>
      </c>
      <c r="C37" s="3">
        <f>F31</f>
        <v>1101.8627389999999</v>
      </c>
    </row>
    <row r="38" spans="2:7" x14ac:dyDescent="0.2">
      <c r="B38" s="31" t="s">
        <v>134</v>
      </c>
      <c r="C38" s="3">
        <f>C36/C37</f>
        <v>190.23360597160496</v>
      </c>
      <c r="E38" t="s">
        <v>112</v>
      </c>
      <c r="F38" s="40">
        <f>'T-Mobile 3 Statement Model'!F37</f>
        <v>4.2000000000000003E-2</v>
      </c>
    </row>
    <row r="39" spans="2:7" x14ac:dyDescent="0.2">
      <c r="B39" t="s">
        <v>135</v>
      </c>
      <c r="C39" s="3">
        <f>F30</f>
        <v>154.06</v>
      </c>
      <c r="E39" s="10" t="s">
        <v>113</v>
      </c>
      <c r="F39" s="41">
        <f>'T-Mobile 3 Statement Model'!F20</f>
        <v>0.23447165811842732</v>
      </c>
    </row>
    <row r="40" spans="2:7" x14ac:dyDescent="0.2">
      <c r="B40" t="s">
        <v>136</v>
      </c>
      <c r="C40" s="21">
        <f>(C38/C39)-1</f>
        <v>0.23480206394654646</v>
      </c>
      <c r="E40" s="5" t="s">
        <v>114</v>
      </c>
      <c r="F40" s="23">
        <f>F38*(1-F39)</f>
        <v>3.2152190359026056E-2</v>
      </c>
    </row>
    <row r="42" spans="2:7" x14ac:dyDescent="0.2">
      <c r="E42" t="s">
        <v>110</v>
      </c>
      <c r="F42" s="28">
        <v>4.2999999999999997E-2</v>
      </c>
    </row>
    <row r="43" spans="2:7" x14ac:dyDescent="0.2">
      <c r="B43" s="7" t="s">
        <v>10</v>
      </c>
      <c r="C43" s="42">
        <v>7</v>
      </c>
      <c r="E43" t="s">
        <v>115</v>
      </c>
      <c r="F43" s="26">
        <v>0.63</v>
      </c>
    </row>
    <row r="44" spans="2:7" x14ac:dyDescent="0.2">
      <c r="E44" s="10" t="s">
        <v>116</v>
      </c>
      <c r="F44" s="29">
        <v>4.7500000000000001E-2</v>
      </c>
    </row>
    <row r="45" spans="2:7" x14ac:dyDescent="0.2">
      <c r="B45" s="7" t="s">
        <v>12</v>
      </c>
      <c r="C45" s="43">
        <f>(F35*F45)+(F36*F40)</f>
        <v>5.8585835626902664E-2</v>
      </c>
      <c r="E45" s="24" t="s">
        <v>117</v>
      </c>
      <c r="F45" s="25">
        <f>F42+(F43*F44)</f>
        <v>7.292499999999999E-2</v>
      </c>
    </row>
    <row r="48" spans="2:7" x14ac:dyDescent="0.2">
      <c r="B48" s="132" t="s">
        <v>137</v>
      </c>
      <c r="C48" s="132"/>
      <c r="D48" s="132"/>
      <c r="E48" s="132"/>
      <c r="F48" s="132"/>
      <c r="G48" s="132"/>
    </row>
    <row r="49" spans="2:7" x14ac:dyDescent="0.2">
      <c r="B49" s="137">
        <f>C38</f>
        <v>190.23360597160496</v>
      </c>
      <c r="C49" s="138">
        <v>6</v>
      </c>
      <c r="D49" s="138">
        <v>6.5</v>
      </c>
      <c r="E49" s="139">
        <v>7</v>
      </c>
      <c r="F49" s="138">
        <v>7.5</v>
      </c>
      <c r="G49" s="138">
        <v>8</v>
      </c>
    </row>
    <row r="50" spans="2:7" x14ac:dyDescent="0.2">
      <c r="B50" s="140">
        <v>4.4999999999999998E-2</v>
      </c>
      <c r="C50" s="32">
        <f t="dataTable" ref="C50:G54" dt2D="1" dtr="1" r1="C43" r2="C45"/>
        <v>175.61708260529309</v>
      </c>
      <c r="D50" s="32">
        <v>190.98522298698578</v>
      </c>
      <c r="E50" s="32">
        <v>206.35336336867846</v>
      </c>
      <c r="F50" s="32">
        <v>221.72150375037108</v>
      </c>
      <c r="G50" s="32">
        <v>237.08964413206377</v>
      </c>
    </row>
    <row r="51" spans="2:7" x14ac:dyDescent="0.2">
      <c r="B51" s="140">
        <v>0.05</v>
      </c>
      <c r="C51" s="32">
        <v>170.26886611352128</v>
      </c>
      <c r="D51" s="32">
        <v>185.2745666749779</v>
      </c>
      <c r="E51" s="32">
        <v>200.28026723643453</v>
      </c>
      <c r="F51" s="32">
        <v>215.28596779789115</v>
      </c>
      <c r="G51" s="32">
        <v>230.29166835934774</v>
      </c>
    </row>
    <row r="52" spans="2:7" x14ac:dyDescent="0.2">
      <c r="B52" s="140">
        <v>5.5E-2</v>
      </c>
      <c r="C52" s="32">
        <v>165.06518414784301</v>
      </c>
      <c r="D52" s="32">
        <v>179.71865392891004</v>
      </c>
      <c r="E52" s="32">
        <v>194.37212370997713</v>
      </c>
      <c r="F52" s="32">
        <v>209.02559349104419</v>
      </c>
      <c r="G52" s="32">
        <v>223.67906327211128</v>
      </c>
    </row>
    <row r="53" spans="2:7" x14ac:dyDescent="0.2">
      <c r="B53" s="141">
        <v>0.06</v>
      </c>
      <c r="C53" s="32">
        <v>160.00140975730397</v>
      </c>
      <c r="D53" s="32">
        <v>174.31252387703975</v>
      </c>
      <c r="E53" s="32">
        <v>188.62363799677556</v>
      </c>
      <c r="F53" s="32">
        <v>202.93475211651139</v>
      </c>
      <c r="G53" s="32">
        <v>217.24586623624728</v>
      </c>
    </row>
    <row r="54" spans="2:7" x14ac:dyDescent="0.2">
      <c r="B54" s="140">
        <v>6.5000000000000002E-2</v>
      </c>
      <c r="C54" s="32">
        <v>155.07308589211104</v>
      </c>
      <c r="D54" s="32">
        <v>169.05139797292378</v>
      </c>
      <c r="E54" s="32">
        <v>183.02971005373649</v>
      </c>
      <c r="F54" s="32">
        <v>197.00802213454915</v>
      </c>
      <c r="G54" s="32">
        <v>210.98633421536186</v>
      </c>
    </row>
  </sheetData>
  <conditionalFormatting sqref="C50:G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scale="6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Dashboard</vt:lpstr>
      <vt:lpstr>T-Mobile 3 Statement Model</vt:lpstr>
      <vt:lpstr>T-Mobile DCF Model</vt:lpstr>
      <vt:lpstr>Dashboard!Print_Area</vt:lpstr>
      <vt:lpstr>'T-Mobile 3 Statement Model'!Print_Area</vt:lpstr>
      <vt:lpstr>'T-Mobile DCF 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Tierce</dc:creator>
  <cp:lastModifiedBy>Brett Tierce</cp:lastModifiedBy>
  <dcterms:created xsi:type="dcterms:W3CDTF">2026-09-17T20:36:45Z</dcterms:created>
  <dcterms:modified xsi:type="dcterms:W3CDTF">2026-10-16T01:37:11Z</dcterms:modified>
</cp:coreProperties>
</file>